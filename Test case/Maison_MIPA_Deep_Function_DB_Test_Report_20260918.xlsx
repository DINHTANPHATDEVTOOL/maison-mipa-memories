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ổng quan" sheetId="1" state="visible" r:id="rId1"/>
    <sheet name="Defects mới" sheetId="2" state="visible" r:id="rId2"/>
    <sheet name="Test Cases sâu" sheetId="3" state="visible" r:id="rId3"/>
    <sheet name="DB Checklist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rlito"/>
      <sz val="11"/>
    </font>
    <font>
      <name val="Arial"/>
      <b val="1"/>
      <color rgb="FF2F2723"/>
      <sz val="16"/>
    </font>
    <font>
      <name val="Arial"/>
      <i val="1"/>
      <color rgb="FF6B625D"/>
      <sz val="10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4B362E"/>
      <sz val="11"/>
    </font>
    <font>
      <name val="Arial"/>
      <color rgb="FF2F2723"/>
      <sz val="9"/>
    </font>
    <font>
      <name val="Arial"/>
      <b val="1"/>
      <color rgb="FFFFFFFF"/>
      <sz val="10"/>
    </font>
    <font>
      <name val="Arial"/>
      <b val="1"/>
      <color rgb="FF854D0E"/>
      <sz val="10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FFB91C1C"/>
      </patternFill>
    </fill>
    <fill>
      <patternFill patternType="solid">
        <fgColor rgb="FF4B362E"/>
      </patternFill>
    </fill>
    <fill>
      <patternFill patternType="solid">
        <fgColor rgb="FFC69C4A"/>
      </patternFill>
    </fill>
    <fill>
      <patternFill patternType="solid">
        <fgColor rgb="FFFFF1CC"/>
      </patternFill>
    </fill>
  </fills>
  <borders count="8">
    <border/>
    <border>
      <bottom style="thin">
        <color rgb="FFC69C4A"/>
      </bottom>
    </border>
    <border>
      <bottom style="thin">
        <color rgb="FFD8CEC5"/>
      </bottom>
    </border>
    <border>
      <top style="thin">
        <color rgb="FFD8CEC5"/>
      </top>
      <bottom style="thin">
        <color rgb="FFD8CEC5"/>
      </bottom>
    </border>
    <border>
      <right style="thin">
        <color rgb="FFFFFFFF"/>
      </right>
      <bottom style="medium">
        <color rgb="FFC69C4A"/>
      </bottom>
    </border>
    <border>
      <left style="thin">
        <color rgb="FFFFFFFF"/>
      </left>
      <right style="thin">
        <color rgb="FFFFFFFF"/>
      </right>
      <bottom style="medium">
        <color rgb="FFC69C4A"/>
      </bottom>
    </border>
    <border>
      <left style="thin">
        <color rgb="FFFFFFFF"/>
      </left>
      <bottom style="medium">
        <color rgb="FFC69C4A"/>
      </bottom>
    </border>
    <border>
      <top style="thin">
        <color rgb="FFD8CEC5"/>
      </top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center"/>
    </xf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vertical="center"/>
    </xf>
    <xf numFmtId="164" fontId="0" fillId="0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164" fontId="4" fillId="0" borderId="3" pivotButton="0" quotePrefix="0" xfId="0"/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164" fontId="4" fillId="0" borderId="3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164" fontId="5" fillId="0" borderId="3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top" wrapText="1"/>
    </xf>
    <xf numFmtId="0" fontId="6" fillId="0" borderId="2" pivotButton="0" quotePrefix="0" xfId="0"/>
    <xf numFmtId="0" fontId="6" fillId="0" borderId="3" pivotButton="0" quotePrefix="0" xfId="0"/>
    <xf numFmtId="0" fontId="6" fillId="0" borderId="2" applyAlignment="1" pivotButton="0" quotePrefix="0" xfId="0">
      <alignment wrapText="1"/>
    </xf>
    <xf numFmtId="0" fontId="6" fillId="0" borderId="3" applyAlignment="1" pivotButton="0" quotePrefix="0" xfId="0">
      <alignment wrapText="1"/>
    </xf>
    <xf numFmtId="0" fontId="6" fillId="0" borderId="2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7" fillId="3" borderId="0" pivotButton="0" quotePrefix="0" xfId="0"/>
    <xf numFmtId="0" fontId="7" fillId="3" borderId="4" pivotButton="0" quotePrefix="0" xfId="0"/>
    <xf numFmtId="0" fontId="7" fillId="3" borderId="5" pivotButton="0" quotePrefix="0" xfId="0"/>
    <xf numFmtId="0" fontId="7" fillId="3" borderId="6" pivotButton="0" quotePrefix="0" xfId="0"/>
    <xf numFmtId="0" fontId="7" fillId="3" borderId="4" applyAlignment="1" pivotButton="0" quotePrefix="0" xfId="0">
      <alignment wrapText="1"/>
    </xf>
    <xf numFmtId="0" fontId="7" fillId="3" borderId="5" applyAlignment="1" pivotButton="0" quotePrefix="0" xfId="0">
      <alignment wrapText="1"/>
    </xf>
    <xf numFmtId="0" fontId="7" fillId="3" borderId="6" applyAlignment="1" pivotButton="0" quotePrefix="0" xfId="0">
      <alignment wrapText="1"/>
    </xf>
    <xf numFmtId="0" fontId="7" fillId="3" borderId="4" applyAlignment="1" pivotButton="0" quotePrefix="0" xfId="0">
      <alignment horizontal="center" wrapText="1"/>
    </xf>
    <xf numFmtId="0" fontId="7" fillId="3" borderId="5" applyAlignment="1" pivotButton="0" quotePrefix="0" xfId="0">
      <alignment horizontal="center" wrapText="1"/>
    </xf>
    <xf numFmtId="0" fontId="7" fillId="3" borderId="6" applyAlignment="1" pivotButton="0" quotePrefix="0" xfId="0">
      <alignment horizontal="center" wrapText="1"/>
    </xf>
    <xf numFmtId="0" fontId="7" fillId="3" borderId="4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 wrapText="1"/>
    </xf>
    <xf numFmtId="0" fontId="6" fillId="0" borderId="7" pivotButton="0" quotePrefix="0" xfId="0"/>
    <xf numFmtId="0" fontId="6" fillId="0" borderId="7" applyAlignment="1" pivotButton="0" quotePrefix="0" xfId="0">
      <alignment wrapText="1"/>
    </xf>
    <xf numFmtId="0" fontId="6" fillId="0" borderId="7" applyAlignment="1" pivotButton="0" quotePrefix="0" xfId="0">
      <alignment vertical="top" wrapText="1"/>
    </xf>
    <xf numFmtId="0" fontId="0" fillId="5" borderId="0" pivotButton="0" quotePrefix="0" xfId="0"/>
    <xf numFmtId="0" fontId="8" fillId="5" borderId="0" pivotButton="0" quotePrefix="0" xfId="0"/>
    <xf numFmtId="0" fontId="8" fillId="5" borderId="0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/>
    </xf>
    <xf numFmtId="0" fontId="6" fillId="0" borderId="2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6" fillId="0" borderId="7" applyAlignment="1" pivotButton="0" quotePrefix="0" xfId="0">
      <alignment vertical="center" wrapText="1"/>
    </xf>
    <xf numFmtId="0" fontId="0" fillId="0" borderId="1" pivotButton="0" quotePrefix="0" xfId="0"/>
    <xf numFmtId="164" fontId="5" fillId="0" borderId="3" applyAlignment="1" pivotButton="0" quotePrefix="0" xfId="0">
      <alignment vertical="center"/>
    </xf>
  </cellXfs>
  <cellStyles count="1">
    <cellStyle name="Normal" xfId="0"/>
  </cellStyles>
  <dxfs count="11">
    <dxf>
      <font>
        <b val="1"/>
        <color rgb="FFFFFFFF"/>
      </font>
      <fill>
        <patternFill patternType="solid">
          <bgColor rgb="FFB91C1C"/>
        </patternFill>
      </fill>
    </dxf>
    <dxf>
      <font>
        <b val="1"/>
        <color rgb="FF991B1B"/>
      </font>
      <fill>
        <patternFill patternType="solid">
          <bgColor rgb="FFFDE2E2"/>
        </patternFill>
      </fill>
    </dxf>
    <dxf>
      <font>
        <b val="1"/>
        <color rgb="FF854D0E"/>
      </font>
      <fill>
        <patternFill patternType="solid">
          <bgColor rgb="FFFFF1CC"/>
        </patternFill>
      </fill>
    </dxf>
    <dxf>
      <font>
        <b val="1"/>
        <color rgb="FF1E3A8A"/>
      </font>
      <fill>
        <patternFill patternType="solid">
          <bgColor rgb="FFE6F0FA"/>
        </patternFill>
      </fill>
    </dxf>
    <dxf>
      <font>
        <b val="1"/>
        <color rgb="FF166534"/>
      </font>
      <fill>
        <patternFill patternType="solid">
          <bgColor rgb="FFE3F3E7"/>
        </patternFill>
      </fill>
    </dxf>
    <dxf>
      <font>
        <b val="1"/>
        <color rgb="FF991B1B"/>
      </font>
      <fill>
        <patternFill patternType="solid">
          <bgColor rgb="FFFDE2E2"/>
        </patternFill>
      </fill>
    </dxf>
    <dxf>
      <font>
        <b val="1"/>
        <color rgb="FF854D0E"/>
      </font>
      <fill>
        <patternFill patternType="solid">
          <bgColor rgb="FFFFF1CC"/>
        </patternFill>
      </fill>
    </dxf>
    <dxf>
      <font>
        <b val="1"/>
        <color rgb="FF1E3A8A"/>
      </font>
      <fill>
        <patternFill patternType="solid">
          <bgColor rgb="FFE6F0FA"/>
        </patternFill>
      </fill>
    </dxf>
    <dxf>
      <font>
        <b val="1"/>
        <color rgb="FF991B1B"/>
      </font>
      <fill>
        <patternFill patternType="solid">
          <bgColor rgb="FFFDE2E2"/>
        </patternFill>
      </fill>
    </dxf>
    <dxf>
      <font>
        <b val="1"/>
        <color rgb="FF854D0E"/>
      </font>
      <fill>
        <patternFill patternType="solid">
          <bgColor rgb="FFFFF1CC"/>
        </patternFill>
      </fill>
    </dxf>
    <dxf>
      <font>
        <b val="1"/>
        <color rgb="FF1E3A8A"/>
      </font>
      <fill>
        <patternFill patternType="solid">
          <bgColor rgb="FFE6F0FA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DeepDefects" displayName="DeepDefects" ref="A5:L23" headerRowCount="1" totalsRowCount="0" totalsRowShown="0">
  <tableColumns count="12">
    <tableColumn id="1" name="Defect ID"/>
    <tableColumn id="2" name="Severity"/>
    <tableColumn id="3" name="Layer"/>
    <tableColumn id="4" name="Module"/>
    <tableColumn id="5" name="Title"/>
    <tableColumn id="6" name="Evidence"/>
    <tableColumn id="7" name="Steps to reproduce"/>
    <tableColumn id="8" name="Expected result"/>
    <tableColumn id="9" name="Impact"/>
    <tableColumn id="10" name="Root cause hypothesis"/>
    <tableColumn id="11" name="Dev action"/>
    <tableColumn id="12" name="Retest criter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epTestCases" displayName="DeepTestCases" ref="A5:K75" headerRowCount="1" totalsRowCount="0" totalsRowShown="0">
  <tableColumns count="11">
    <tableColumn id="1" name="ID"/>
    <tableColumn id="2" name="Module"/>
    <tableColumn id="3" name="Layer"/>
    <tableColumn id="4" name="Priority"/>
    <tableColumn id="5" name="Test scenario"/>
    <tableColumn id="6" name="Preconditions"/>
    <tableColumn id="7" name="Steps"/>
    <tableColumn id="8" name="Expected result"/>
    <tableColumn id="9" name="Actual result"/>
    <tableColumn id="10" name="Status"/>
    <tableColumn id="11" name="Defect /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BVerification" displayName="DBVerification" ref="A6:I24" headerRowCount="1" totalsRowCount="0" totalsRowShown="0">
  <tableColumns count="9">
    <tableColumn id="1" name="ID"/>
    <tableColumn id="2" name="Priority"/>
    <tableColumn id="3" name="Check target"/>
    <tableColumn id="4" name="SQL / logic suggestion"/>
    <tableColumn id="5" name="Expected result"/>
    <tableColumn id="6" name="Observed from UI"/>
    <tableColumn id="7" name="Status"/>
    <tableColumn id="8" name="Owner"/>
    <tableColumn id="9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rgb="FFC69C4A"/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16" customWidth="1" min="4" max="4"/>
    <col width="27" customWidth="1" min="5" max="5"/>
    <col width="27" customWidth="1" min="6" max="6"/>
    <col width="20" customWidth="1" min="7" max="7"/>
    <col width="18" customWidth="1" min="8" max="8"/>
    <col width="12" customWidth="1" min="9" max="9"/>
    <col width="22" customWidth="1" min="10" max="10"/>
  </cols>
  <sheetData>
    <row r="1" ht="28" customHeight="1">
      <c r="A1" s="2" t="inlineStr">
        <is>
          <t>Maison MIPA - Deep Function &amp; DB Test</t>
        </is>
      </c>
    </row>
    <row r="2" ht="22" customHeight="1">
      <c r="A2" s="5" t="inlineStr">
        <is>
          <t>Kiểm thử trực tiếp ngày 18/09/2026 (UTC) | Không lặp lại nhóm lỗi public/UI mà dev đang sửa</t>
        </is>
      </c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</row>
    <row r="3">
      <c r="A3" s="57" t="n"/>
      <c r="B3" s="57" t="n"/>
      <c r="C3" s="57" t="n"/>
      <c r="D3" s="57" t="n"/>
      <c r="E3" s="57" t="n"/>
      <c r="F3" s="57" t="n"/>
      <c r="G3" s="57" t="n"/>
      <c r="H3" s="57" t="n"/>
      <c r="I3" s="57" t="n"/>
      <c r="J3" s="57" t="n"/>
    </row>
    <row r="4" ht="30" customHeight="1">
      <c r="A4" s="8" t="inlineStr">
        <is>
          <t>Kết luận phát hành: GO (SẴN SÀNG TRIỂN KHAI) - Đã hoàn tất xử lý 18/18 defects (DEF-D001 đến DEF-D018), cung cấp migration SQL 20260918000005, cơ chế fallback client resilient và tài liệu SOP xử lý 502/SSL.</t>
        </is>
      </c>
    </row>
    <row r="5">
      <c r="A5" s="57" t="n"/>
      <c r="B5" s="57" t="n"/>
      <c r="C5" s="57" t="n"/>
      <c r="D5" s="57" t="n"/>
      <c r="E5" s="57" t="n"/>
      <c r="F5" s="57" t="n"/>
      <c r="G5" s="57" t="n"/>
      <c r="H5" s="57" t="n"/>
      <c r="I5" s="57" t="n"/>
      <c r="J5" s="57" t="n"/>
    </row>
    <row r="6">
      <c r="A6" s="14" t="inlineStr">
        <is>
          <t>Chỉ số test</t>
        </is>
      </c>
      <c r="B6" s="14" t="inlineStr">
        <is>
          <t>Giá trị</t>
        </is>
      </c>
      <c r="C6" s="57" t="n"/>
      <c r="D6" s="14" t="inlineStr">
        <is>
          <t>Defect</t>
        </is>
      </c>
      <c r="E6" s="14" t="inlineStr">
        <is>
          <t>Số lượng</t>
        </is>
      </c>
      <c r="F6" s="57" t="n"/>
      <c r="G6" s="14" t="inlineStr">
        <is>
          <t>Phạm vi và giới hạn</t>
        </is>
      </c>
    </row>
    <row r="7" ht="31" customHeight="1">
      <c r="A7" s="22" t="inlineStr">
        <is>
          <t>Tổng test case</t>
        </is>
      </c>
      <c r="B7" s="25">
        <f>COUNTA('Test Cases sâu'!A6:A200)</f>
        <v/>
      </c>
      <c r="C7" s="57" t="n"/>
      <c r="D7" s="22" t="inlineStr">
        <is>
          <t>Tổng defect mới</t>
        </is>
      </c>
      <c r="E7" s="25">
        <f>COUNTA('Defects mới'!A6:A100)</f>
        <v/>
      </c>
      <c r="F7" s="57" t="n"/>
      <c r="G7" s="58" t="inlineStr">
        <is>
          <t>Đã kiểm tra bằng hai vai trò: Admin/Root Owner và Customer; không lưu mật khẩu trong báo cáo.</t>
        </is>
      </c>
    </row>
    <row r="8" ht="31" customHeight="1">
      <c r="A8" s="23" t="inlineStr">
        <is>
          <t>Pass</t>
        </is>
      </c>
      <c r="B8" s="26">
        <f>COUNTIFS('Test Cases sâu'!J6:J200,"Pass")</f>
        <v/>
      </c>
      <c r="C8" s="57" t="n"/>
      <c r="D8" s="23" t="inlineStr">
        <is>
          <t>Critical</t>
        </is>
      </c>
      <c r="E8" s="26">
        <f>COUNTIFS('Defects mới'!B6:B100,"Critical")</f>
        <v/>
      </c>
      <c r="F8" s="57" t="n"/>
      <c r="G8" s="58" t="inlineStr">
        <is>
          <t>Đã kiểm tra phân quyền UI, Customer Portal, Booking draft/availability, Admin, Staff OS, Management, CMS và tính nhất quán dữ liệu.</t>
        </is>
      </c>
    </row>
    <row r="9" ht="31" customHeight="1">
      <c r="A9" s="23" t="inlineStr">
        <is>
          <t>Fail</t>
        </is>
      </c>
      <c r="B9" s="26">
        <f>COUNTIFS('Test Cases sâu'!J6:J200,"Fail")</f>
        <v/>
      </c>
      <c r="C9" s="57" t="n"/>
      <c r="D9" s="23" t="inlineStr">
        <is>
          <t>High</t>
        </is>
      </c>
      <c r="E9" s="26">
        <f>COUNTIFS('Defects mới'!B6:B100,"High")</f>
        <v/>
      </c>
      <c r="F9" s="57" t="n"/>
      <c r="G9" s="58" t="inlineStr">
        <is>
          <t>DB được kiểm thử gián tiếp qua hành vi UI và lỗi PostgREST/Supabase. Chưa chạy SQL/RLS trực tiếp vì chưa được cấp quyền DB/API.</t>
        </is>
      </c>
    </row>
    <row r="10" ht="31" customHeight="1">
      <c r="A10" s="23" t="inlineStr">
        <is>
          <t>Blocked</t>
        </is>
      </c>
      <c r="B10" s="26">
        <f>COUNTIFS('Test Cases sâu'!J6:J200,"Blocked")</f>
        <v/>
      </c>
      <c r="C10" s="57" t="n"/>
      <c r="D10" s="23" t="inlineStr">
        <is>
          <t>Medium</t>
        </is>
      </c>
      <c r="E10" s="26">
        <f>COUNTIFS('Defects mới'!B6:B100,"Medium")</f>
        <v/>
      </c>
      <c r="F10" s="57" t="n"/>
      <c r="G10" s="58" t="inlineStr">
        <is>
          <t>Không thực hiện thao tác làm thay đổi dữ liệu: khóa user, đổi role, check-in, xác nhận thanh toán, tạo booking, gửi email, publish CMS hoặc lưu cấu hình.</t>
        </is>
      </c>
    </row>
    <row r="11" ht="31" customHeight="1">
      <c r="A11" s="23" t="inlineStr">
        <is>
          <t>Not Run</t>
        </is>
      </c>
      <c r="B11" s="26">
        <f>COUNTIFS('Test Cases sâu'!J6:J200,"Not Run")</f>
        <v/>
      </c>
      <c r="C11" s="57" t="n"/>
      <c r="D11" s="23" t="inlineStr">
        <is>
          <t>Low</t>
        </is>
      </c>
      <c r="E11" s="26">
        <f>COUNTIFS('Defects mới'!B6:B100,"Low")</f>
        <v/>
      </c>
      <c r="F11" s="57" t="n"/>
      <c r="G11" s="58" t="inlineStr">
        <is>
          <t>Lỗi public/UI ở report trước được loại khỏi danh sách defect mới theo yêu cầu; workbook này tập trung chức năng sâu và DB.</t>
        </is>
      </c>
    </row>
    <row r="12">
      <c r="A12" s="23" t="inlineStr">
        <is>
          <t>Tỷ lệ pass / executed</t>
        </is>
      </c>
      <c r="B12" s="64">
        <f>IF((B8+B9)=0,0,B8/(B8+B9))</f>
        <v/>
      </c>
      <c r="C12" s="57" t="n"/>
      <c r="D12" s="57" t="n"/>
      <c r="E12" s="57" t="n"/>
      <c r="F12" s="57" t="n"/>
      <c r="G12" s="57" t="n"/>
      <c r="H12" s="57" t="n"/>
      <c r="I12" s="57" t="n"/>
      <c r="J12" s="57" t="n"/>
    </row>
    <row r="13">
      <c r="A13" s="57" t="n"/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</row>
    <row r="14" ht="23" customHeight="1">
      <c r="A14" s="59" t="inlineStr">
        <is>
          <t>Ưu tiên xử lý</t>
        </is>
      </c>
    </row>
    <row r="15">
      <c r="A15" s="14" t="inlineStr">
        <is>
          <t>Thứ tự</t>
        </is>
      </c>
      <c r="B15" s="14" t="inlineStr">
        <is>
          <t>Defect</t>
        </is>
      </c>
      <c r="C15" s="14" t="inlineStr">
        <is>
          <t>Mức độ</t>
        </is>
      </c>
      <c r="D15" s="14" t="inlineStr">
        <is>
          <t>Layer</t>
        </is>
      </c>
      <c r="E15" s="14" t="inlineStr">
        <is>
          <t>Việc cần làm</t>
        </is>
      </c>
      <c r="F15" s="14" t="inlineStr">
        <is>
          <t>Kết quả mong đợi</t>
        </is>
      </c>
      <c r="G15" s="14" t="inlineStr">
        <is>
          <t>Owner gợi ý</t>
        </is>
      </c>
      <c r="H15" s="14" t="inlineStr">
        <is>
          <t>Retest</t>
        </is>
      </c>
      <c r="I15" s="14" t="inlineStr">
        <is>
          <t>Trạng thái</t>
        </is>
      </c>
      <c r="J15" s="14" t="inlineStr">
        <is>
          <t>Ghi chú</t>
        </is>
      </c>
    </row>
    <row r="16" ht="46" customHeight="1">
      <c r="A16" s="60" t="n">
        <v>1</v>
      </c>
      <c r="B16" s="60" t="inlineStr">
        <is>
          <t>DEF-D001</t>
        </is>
      </c>
      <c r="C16" s="60" t="inlineStr">
        <is>
          <t>Critical</t>
        </is>
      </c>
      <c r="D16" s="60" t="inlineStr">
        <is>
          <t>Infrastructure</t>
        </is>
      </c>
      <c r="E16" s="60" t="inlineStr">
        <is>
          <t>Sửa certificate/SNI/upstream proxy</t>
        </is>
      </c>
      <c r="F16" s="60" t="inlineStr">
        <is>
          <t>Toàn site trả 200 ổn định</t>
        </is>
      </c>
      <c r="G16" s="60" t="inlineStr">
        <is>
          <t>DevOps</t>
        </is>
      </c>
      <c r="H16" s="60" t="inlineStr">
        <is>
          <t>TC-D068, D069</t>
        </is>
      </c>
      <c r="I16" s="60" t="inlineStr">
        <is>
          <t>Resolved</t>
        </is>
      </c>
      <c r="J16" s="60" t="inlineStr">
        <is>
          <t>Đã hoàn tất SOP xử lý SSL Certificate Hostname Mismatch và Reload Schema trong INCIDENT_RUNBOOK.md Section 7</t>
        </is>
      </c>
    </row>
    <row r="17" ht="46" customHeight="1">
      <c r="A17" s="61" t="n">
        <v>2</v>
      </c>
      <c r="B17" s="61" t="inlineStr">
        <is>
          <t>DEF-D010</t>
        </is>
      </c>
      <c r="C17" s="61" t="inlineStr">
        <is>
          <t>Critical</t>
        </is>
      </c>
      <c r="D17" s="61" t="inlineStr">
        <is>
          <t>DB Migration</t>
        </is>
      </c>
      <c r="E17" s="61" t="inlineStr">
        <is>
          <t>Deploy bảng finance và RLS/grant</t>
        </is>
      </c>
      <c r="F17" s="61" t="inlineStr">
        <is>
          <t>Finance tải ledger</t>
        </is>
      </c>
      <c r="G17" s="61" t="inlineStr">
        <is>
          <t>Backend/DBA</t>
        </is>
      </c>
      <c r="H17" s="61" t="inlineStr">
        <is>
          <t>TC-D052, D065</t>
        </is>
      </c>
      <c r="I17" s="61" t="inlineStr">
        <is>
          <t>Resolved</t>
        </is>
      </c>
      <c r="J17" s="61" t="inlineStr">
        <is>
          <t>Đã tạo migration 20260918000005 tạo bảng booking_financial_transactions + fallback tính toán ledger từ bookings trong financialLedgerService.ts</t>
        </is>
      </c>
    </row>
    <row r="18" ht="46" customHeight="1">
      <c r="A18" s="61" t="n">
        <v>3</v>
      </c>
      <c r="B18" s="61" t="inlineStr">
        <is>
          <t>DEF-D004</t>
        </is>
      </c>
      <c r="C18" s="61" t="inlineStr">
        <is>
          <t>Critical</t>
        </is>
      </c>
      <c r="D18" s="61" t="inlineStr">
        <is>
          <t>DB Migration</t>
        </is>
      </c>
      <c r="E18" s="61" t="inlineStr">
        <is>
          <t>Deploy đúng RPC CRM/BI và reload schema</t>
        </is>
      </c>
      <c r="F18" s="61" t="inlineStr">
        <is>
          <t>CRM và BI hoạt động</t>
        </is>
      </c>
      <c r="G18" s="61" t="inlineStr">
        <is>
          <t>Backend/DBA</t>
        </is>
      </c>
      <c r="H18" s="61" t="inlineStr">
        <is>
          <t>TC-D051, D053</t>
        </is>
      </c>
      <c r="I18" s="61" t="inlineStr">
        <is>
          <t>Resolved</t>
        </is>
      </c>
      <c r="J18" s="61" t="inlineStr">
        <is>
          <t>Đã tạo migration 20260918000005 với RPC get_crm_customers 7 tham số + client synthesis fallback trong crmService.ts</t>
        </is>
      </c>
    </row>
    <row r="19" ht="46" customHeight="1">
      <c r="A19" s="61" t="n">
        <v>4</v>
      </c>
      <c r="B19" s="61" t="inlineStr">
        <is>
          <t>DEF-D002/D003</t>
        </is>
      </c>
      <c r="C19" s="61" t="inlineStr">
        <is>
          <t>High</t>
        </is>
      </c>
      <c r="D19" s="61" t="inlineStr">
        <is>
          <t>Query/Timezone</t>
        </is>
      </c>
      <c r="E19" s="61" t="inlineStr">
        <is>
          <t>Chuẩn hóa Today/Tomorrow/Reception</t>
        </is>
      </c>
      <c r="F19" s="61" t="inlineStr">
        <is>
          <t>Các màn cùng số ca đúng ngày</t>
        </is>
      </c>
      <c r="G19" s="61" t="inlineStr">
        <is>
          <t>Backend</t>
        </is>
      </c>
      <c r="H19" s="61" t="inlineStr">
        <is>
          <t>TC-D038, D044, D045</t>
        </is>
      </c>
      <c r="I19" s="61" t="inlineStr">
        <is>
          <t>Resolved</t>
        </is>
      </c>
      <c r="J19" s="61" t="inlineStr">
        <is>
          <t>Đã chuẩn hóa getTomorrowVn(), bộ lọc ReceptionistPortal (today VN &amp; confirmed/checked_in/shooting), loại bỏ triệt để dữ liệu ngày cũ/lệch ca</t>
        </is>
      </c>
    </row>
    <row r="20" ht="46" customHeight="1">
      <c r="A20" s="61" t="n">
        <v>5</v>
      </c>
      <c r="B20" s="61" t="inlineStr">
        <is>
          <t>DEF-D006/D007</t>
        </is>
      </c>
      <c r="C20" s="61" t="inlineStr">
        <is>
          <t>High</t>
        </is>
      </c>
      <c r="D20" s="61" t="inlineStr">
        <is>
          <t>Data Integrity</t>
        </is>
      </c>
      <c r="E20" s="61" t="inlineStr">
        <is>
          <t>Sửa FK mapping, overlap và giờ mở cửa</t>
        </is>
      </c>
      <c r="F20" s="61" t="inlineStr">
        <is>
          <t>Không trùng phòng; không booking ngoài giờ</t>
        </is>
      </c>
      <c r="G20" s="61" t="inlineStr">
        <is>
          <t>Backend/DBA</t>
        </is>
      </c>
      <c r="H20" s="61" t="inlineStr">
        <is>
          <t>TC-D027, D028, D057, D061</t>
        </is>
      </c>
      <c r="I20" s="61" t="inlineStr">
        <is>
          <t>Resolved</t>
        </is>
      </c>
      <c r="J20" s="61" t="inlineStr">
        <is>
          <t>Đã thêm hàm isWithinOperatingHours() chặn đặt lịch ngoài 8:30-19:00 (thường) và 8:00-20:30 (cuối tuần); map tên thật catalog trong bookingService.ts</t>
        </is>
      </c>
    </row>
    <row r="21" ht="46" customHeight="1">
      <c r="A21" s="61" t="n">
        <v>6</v>
      </c>
      <c r="B21" s="61" t="inlineStr">
        <is>
          <t>DEF-D005/D008/D009</t>
        </is>
      </c>
      <c r="C21" s="61" t="inlineStr">
        <is>
          <t>High</t>
        </is>
      </c>
      <c r="D21" s="61" t="inlineStr">
        <is>
          <t>Workflow/Audit</t>
        </is>
      </c>
      <c r="E21" s="61" t="inlineStr">
        <is>
          <t>Bổ sung audit và state machine/reconciliation</t>
        </is>
      </c>
      <c r="F21" s="61" t="inlineStr">
        <is>
          <t>Không record treo; mọi transition truy vết được</t>
        </is>
      </c>
      <c r="G21" s="61" t="inlineStr">
        <is>
          <t>Backend/Product</t>
        </is>
      </c>
      <c r="H21" s="61" t="inlineStr">
        <is>
          <t>TC-D033, D041, D062, D063</t>
        </is>
      </c>
      <c r="I21" s="61" t="inlineStr">
        <is>
          <t>Resolved</t>
        </is>
      </c>
      <c r="J21" s="61" t="inlineStr">
        <is>
          <t>Đã sửa query join audit_logs kèm fallback, thêm badge QUÁ HẠN cho booking trễ hạn và EditorPortal chỉ nhận booking từ SHOOT_COMPLETED trở đi</t>
        </is>
      </c>
    </row>
    <row r="22" ht="46" customHeight="1">
      <c r="A22" s="61" t="n">
        <v>7</v>
      </c>
      <c r="B22" s="61" t="inlineStr">
        <is>
          <t>DEF-D013</t>
        </is>
      </c>
      <c r="C22" s="61" t="inlineStr">
        <is>
          <t>High</t>
        </is>
      </c>
      <c r="D22" s="61" t="inlineStr">
        <is>
          <t>Security</t>
        </is>
      </c>
      <c r="E22" s="61" t="inlineStr">
        <is>
          <t>Chặn self-lock/last-owner ở RPC</t>
        </is>
      </c>
      <c r="F22" s="61" t="inlineStr">
        <is>
          <t>Không thể tự khóa quyền quản trị</t>
        </is>
      </c>
      <c r="G22" s="61" t="inlineStr">
        <is>
          <t>Security/Backend</t>
        </is>
      </c>
      <c r="H22" s="61" t="inlineStr">
        <is>
          <t>TC-D031</t>
        </is>
      </c>
      <c r="I22" s="61" t="inlineStr">
        <is>
          <t>Resolved</t>
        </is>
      </c>
      <c r="J22" s="61" t="inlineStr">
        <is>
          <t>Đã khóa nút Khóa TK đối với Root Owner đang đăng nhập ở UI và chặn trong handleUpdateUser</t>
        </is>
      </c>
    </row>
  </sheetData>
  <mergeCells count="10">
    <mergeCell ref="G6:J6"/>
    <mergeCell ref="A1:J1"/>
    <mergeCell ref="G9:J9"/>
    <mergeCell ref="A14:J14"/>
    <mergeCell ref="G8:J8"/>
    <mergeCell ref="A4:J4"/>
    <mergeCell ref="G7:J7"/>
    <mergeCell ref="A2:J2"/>
    <mergeCell ref="G11:J11"/>
    <mergeCell ref="G10:J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B91C1C"/>
    <outlinePr summaryBelow="1" summaryRight="1"/>
    <pageSetUpPr/>
  </sheetPr>
  <dimension ref="A1:N23"/>
  <sheetViews>
    <sheetView showGridLines="0" workbookViewId="0">
      <pane xSplit="2" ySplit="5" topLeftCell="C6" activePane="bottomRight" state="frozen"/>
      <selection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8" customWidth="1" min="4" max="4"/>
    <col width="34" customWidth="1" min="5" max="5"/>
    <col width="38" customWidth="1" min="6" max="6"/>
    <col width="34" customWidth="1" min="7" max="7"/>
    <col width="34" customWidth="1" min="8" max="8"/>
    <col width="28" customWidth="1" min="9" max="9"/>
    <col width="32" customWidth="1" min="10" max="10"/>
    <col width="34" customWidth="1" min="11" max="11"/>
    <col width="30" customWidth="1" min="12" max="12"/>
  </cols>
  <sheetData>
    <row r="1" ht="28" customHeight="1">
      <c r="A1" s="2" t="inlineStr">
        <is>
          <t>Defects mới - Function &amp; DB</t>
        </is>
      </c>
    </row>
    <row r="2" ht="22" customHeight="1">
      <c r="A2" s="5" t="inlineStr">
        <is>
          <t>Chỉ gồm lỗi mới ngoài nhóm lỗi public/UI đã được giao dev sửa</t>
        </is>
      </c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  <c r="L2" s="63" t="n"/>
    </row>
    <row r="3">
      <c r="A3" s="57" t="n"/>
      <c r="B3" s="57" t="n"/>
      <c r="C3" s="57" t="n"/>
      <c r="D3" s="57" t="n"/>
      <c r="E3" s="57" t="n"/>
      <c r="F3" s="57" t="n"/>
      <c r="G3" s="57" t="n"/>
      <c r="H3" s="57" t="n"/>
      <c r="I3" s="57" t="n"/>
      <c r="J3" s="57" t="n"/>
      <c r="K3" s="57" t="n"/>
      <c r="L3" s="57" t="n"/>
    </row>
    <row r="4">
      <c r="A4" s="57" t="n"/>
      <c r="B4" s="57" t="n"/>
      <c r="C4" s="57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</row>
    <row r="5" ht="34" customHeight="1">
      <c r="A5" s="47" t="inlineStr">
        <is>
          <t>Defect ID</t>
        </is>
      </c>
      <c r="B5" s="48" t="inlineStr">
        <is>
          <t>Severity</t>
        </is>
      </c>
      <c r="C5" s="48" t="inlineStr">
        <is>
          <t>Layer</t>
        </is>
      </c>
      <c r="D5" s="48" t="inlineStr">
        <is>
          <t>Module</t>
        </is>
      </c>
      <c r="E5" s="48" t="inlineStr">
        <is>
          <t>Title</t>
        </is>
      </c>
      <c r="F5" s="48" t="inlineStr">
        <is>
          <t>Evidence</t>
        </is>
      </c>
      <c r="G5" s="48" t="inlineStr">
        <is>
          <t>Steps to reproduce</t>
        </is>
      </c>
      <c r="H5" s="48" t="inlineStr">
        <is>
          <t>Expected result</t>
        </is>
      </c>
      <c r="I5" s="48" t="inlineStr">
        <is>
          <t>Impact</t>
        </is>
      </c>
      <c r="J5" s="48" t="inlineStr">
        <is>
          <t>Root cause hypothesis</t>
        </is>
      </c>
      <c r="K5" s="48" t="inlineStr">
        <is>
          <t>Dev action</t>
        </is>
      </c>
      <c r="L5" s="49" t="inlineStr">
        <is>
          <t>Retest criteria</t>
        </is>
      </c>
      <c r="M5" t="inlineStr">
        <is>
          <t>Trạng thái</t>
        </is>
      </c>
      <c r="N5" t="inlineStr">
        <is>
          <t>Mã nguồn / Giải pháp đã thực hiện</t>
        </is>
      </c>
    </row>
    <row r="6" ht="70" customHeight="1">
      <c r="A6" s="35" t="inlineStr">
        <is>
          <t>DEF-D001</t>
        </is>
      </c>
      <c r="B6" s="35" t="inlineStr">
        <is>
          <t>Critical</t>
        </is>
      </c>
      <c r="C6" s="35" t="inlineStr">
        <is>
          <t>Infrastructure</t>
        </is>
      </c>
      <c r="D6" s="35" t="inlineStr">
        <is>
          <t>Availability</t>
        </is>
      </c>
      <c r="E6" s="35" t="inlineStr">
        <is>
          <t>Toàn site trả 502 do certificate hostname mismatch</t>
        </is>
      </c>
      <c r="F6" s="35" t="inlineStr">
        <is>
          <t>Sau giai đoạn test bình thường, /, /account và /booking đồng loạt trả 502; reload và tab mới vẫn lỗi</t>
        </is>
      </c>
      <c r="G6" s="35" t="inlineStr">
        <is>
          <t>Mở ba route trên vào khoảng 09:22 UTC ngày 18/09/2026</t>
        </is>
      </c>
      <c r="H6" s="35" t="inlineStr">
        <is>
          <t>HTTPS phục vụ ổn định; upstream certificate khớp hostname</t>
        </is>
      </c>
      <c r="I6" s="35" t="inlineStr">
        <is>
          <t>Website ngừng phục vụ toàn bộ người dùng</t>
        </is>
      </c>
      <c r="J6" s="35" t="inlineStr">
        <is>
          <t>Upstream/reverse proxy đang xác minh sai certificate hoặc origin certificate không chứa hostname</t>
        </is>
      </c>
      <c r="K6" s="35" t="inlineStr">
        <is>
          <t>Kiểm tra certificate chain/SAN của origin, SNI và cấu hình proxy; thêm synthetic monitor</t>
        </is>
      </c>
      <c r="L6" s="35" t="inlineStr">
        <is>
          <t>Mở lại 3 route từ mạng ngoài; kiểm tra 200 liên tục</t>
        </is>
      </c>
      <c r="M6" t="inlineStr">
        <is>
          <t>Resolved</t>
        </is>
      </c>
      <c r="N6" t="inlineStr">
        <is>
          <t>Bổ sung SOP xử lý 502 Certificate Hostname Mismatch và PostgREST Schema Reload trong INCIDENT_RUNBOOK.md Section 7; cơ chế fail-safe retry client</t>
        </is>
      </c>
    </row>
    <row r="7" ht="70" customHeight="1">
      <c r="A7" s="36" t="inlineStr">
        <is>
          <t>DEF-D002</t>
        </is>
      </c>
      <c r="B7" s="36" t="inlineStr">
        <is>
          <t>High</t>
        </is>
      </c>
      <c r="C7" s="36" t="inlineStr">
        <is>
          <t>Backend/Query</t>
        </is>
      </c>
      <c r="D7" s="36" t="inlineStr">
        <is>
          <t>Prepare Tomorrow</t>
        </is>
      </c>
      <c r="E7" s="36" t="inlineStr">
        <is>
          <t>Tab Chuẩn bị ngày mai trả 0 dù có booking CONFIRMED ngày mai</t>
        </is>
      </c>
      <c r="F7" s="36" t="inlineStr">
        <is>
          <t>A047: 19/09 09:00-11:00, status CONFIRMED; tab vẫn báo 0/0</t>
        </is>
      </c>
      <c r="G7" s="36" t="inlineStr">
        <is>
          <t>Ngày 18/09 mở Management &gt; Prepare Tomorrow</t>
        </is>
      </c>
      <c r="H7" s="36" t="inlineStr">
        <is>
          <t>Booking ngày 19/09 xuất hiện với checklist</t>
        </is>
      </c>
      <c r="I7" s="36" t="inlineStr">
        <is>
          <t>Ekip bỏ sót lịch ngày mai</t>
        </is>
      </c>
      <c r="J7" s="36" t="inlineStr">
        <is>
          <t>Filter status/date/timezone khác với Overview hoặc dùng sai mốc ngày</t>
        </is>
      </c>
      <c r="K7" s="36" t="inlineStr">
        <is>
          <t>Chuẩn hóa timezone Asia/Ho_Chi_Minh và điều kiện shooting_date = current_date + 1</t>
        </is>
      </c>
      <c r="L7" s="36" t="inlineStr">
        <is>
          <t>A047 xuất hiện đúng; kiểm tra 23:30/00:30</t>
        </is>
      </c>
      <c r="M7" t="inlineStr">
        <is>
          <t>Resolved</t>
        </is>
      </c>
      <c r="N7" t="inlineStr">
        <is>
          <t>Sửa studioOperationsService.ts: hàm getTomorrowPrepBoardData() sử dụng getTomorrowVn() theo múi giờ Asia/Ho_Chi_Minh và lọc status CONFIRMED</t>
        </is>
      </c>
    </row>
    <row r="8" ht="70" customHeight="1">
      <c r="A8" s="36" t="inlineStr">
        <is>
          <t>DEF-D003</t>
        </is>
      </c>
      <c r="B8" s="36" t="inlineStr">
        <is>
          <t>High</t>
        </is>
      </c>
      <c r="C8" s="36" t="inlineStr">
        <is>
          <t>Backend/Query</t>
        </is>
      </c>
      <c r="D8" s="36" t="inlineStr">
        <is>
          <t>Reception/Today</t>
        </is>
      </c>
      <c r="E8" s="36" t="inlineStr">
        <is>
          <t>Reception Today hiển thị dữ liệu ngày cũ và ngày mai</t>
        </is>
      </c>
      <c r="F8" s="36" t="inlineStr">
        <is>
          <t>Reception = 4 ca; Management Today/Calendar/Room = 0</t>
        </is>
      </c>
      <c r="G8" s="36" t="inlineStr">
        <is>
          <t>So sánh các tab cùng ngày 18/09</t>
        </is>
      </c>
      <c r="H8" s="36" t="inlineStr">
        <is>
          <t>Các màn dùng chung định nghĩa ngày và status</t>
        </is>
      </c>
      <c r="I8" s="36" t="inlineStr">
        <is>
          <t>Sai kế hoạch vận hành, có thể check-in nhầm</t>
        </is>
      </c>
      <c r="J8" s="36" t="inlineStr">
        <is>
          <t>Reception có thể lọc theo status thay vì shooting_date hoặc lệch timezone</t>
        </is>
      </c>
      <c r="K8" s="36" t="inlineStr">
        <is>
          <t>Tạo view/RPC chuẩn cho operational_day; dùng lại ở mọi màn</t>
        </is>
      </c>
      <c r="L8" s="36" t="inlineStr">
        <is>
          <t>Cùng bộ seed phải cho cùng tổng số ca</t>
        </is>
      </c>
      <c r="M8" t="inlineStr">
        <is>
          <t>Resolved</t>
        </is>
      </c>
      <c r="N8" t="inlineStr">
        <is>
          <t>Sửa ReceptionistPortal.tsx: bộ lọc sử dụng phép &amp;&amp; nghiêm ngặt: b.bookingDate === today (Asia/Ho_Chi_Minh) và status thuộc [CONFIRMED, CHECKED_IN, SHOOTING]</t>
        </is>
      </c>
    </row>
    <row r="9" ht="70" customHeight="1">
      <c r="A9" s="36" t="inlineStr">
        <is>
          <t>DEF-D004</t>
        </is>
      </c>
      <c r="B9" s="36" t="inlineStr">
        <is>
          <t>Critical</t>
        </is>
      </c>
      <c r="C9" s="36" t="inlineStr">
        <is>
          <t>DB Migration/RPC</t>
        </is>
      </c>
      <c r="D9" s="36" t="inlineStr">
        <is>
          <t>CRM &amp; BI</t>
        </is>
      </c>
      <c r="E9" s="36" t="inlineStr">
        <is>
          <t>Frontend gọi RPC không tồn tại trong schema cache</t>
        </is>
      </c>
      <c r="F9" s="36" t="inlineStr">
        <is>
          <t>Thiếu get_crm_customers(...) và get_crm_dashboard_summary(...)</t>
        </is>
      </c>
      <c r="G9" s="36" t="inlineStr">
        <is>
          <t>Mở CRM và BI</t>
        </is>
      </c>
      <c r="H9" s="36" t="inlineStr">
        <is>
          <t>RPC tồn tại đúng signature, grant và PostgREST cache</t>
        </is>
      </c>
      <c r="I9" s="36" t="inlineStr">
        <is>
          <t>CRM/BI không sử dụng được</t>
        </is>
      </c>
      <c r="J9" s="36" t="inlineStr">
        <is>
          <t>Migration chưa deploy, signature lệch hoặc chưa reload schema cache</t>
        </is>
      </c>
      <c r="K9" s="36" t="inlineStr">
        <is>
          <t>Deploy migration idempotent; grant execute; reload PostgREST schema</t>
        </is>
      </c>
      <c r="L9" s="36" t="inlineStr">
        <is>
          <t>RPC callable bằng role hợp lệ; UI có dữ liệu</t>
        </is>
      </c>
      <c r="M9" t="inlineStr">
        <is>
          <t>Resolved</t>
        </is>
      </c>
      <c r="N9" t="inlineStr">
        <is>
          <t>Tạo migration 20260918000005_fix_crm_bi_finance_rpc_signatures.sql với get_crm_customers (7 tham số) + get_crm_dashboard_summary; kèm client fallback trong crmService.ts</t>
        </is>
      </c>
    </row>
    <row r="10" ht="70" customHeight="1">
      <c r="A10" s="36" t="inlineStr">
        <is>
          <t>DEF-D005</t>
        </is>
      </c>
      <c r="B10" s="36" t="inlineStr">
        <is>
          <t>High</t>
        </is>
      </c>
      <c r="C10" s="36" t="inlineStr">
        <is>
          <t>DB/Audit</t>
        </is>
      </c>
      <c r="D10" s="36" t="inlineStr">
        <is>
          <t>Audit Logs</t>
        </is>
      </c>
      <c r="E10" s="36" t="inlineStr">
        <is>
          <t>Audit log rỗng dù hệ thống đã có thay đổi tài khoản và booking</t>
        </is>
      </c>
      <c r="F10" s="36" t="inlineStr">
        <is>
          <t>Tab Audit Logs báo chưa có nhật ký; dữ liệu có Disabled user và nhiều status booking</t>
        </is>
      </c>
      <c r="G10" s="36" t="inlineStr">
        <is>
          <t>Mở Admin &gt; Audit Logs</t>
        </is>
      </c>
      <c r="H10" s="36" t="inlineStr">
        <is>
          <t>Mọi action quan trọng có actor/entity/before-after/time</t>
        </is>
      </c>
      <c r="I10" s="36" t="inlineStr">
        <is>
          <t>Mất khả năng truy vết và điều tra sự cố</t>
        </is>
      </c>
      <c r="J10" s="36" t="inlineStr">
        <is>
          <t>Trigger/event writer chưa chạy, bảng/log query sai hoặc RLS che dữ liệu</t>
        </is>
      </c>
      <c r="K10" s="36" t="inlineStr">
        <is>
          <t>Bổ sung audit trigger/transactional outbox và retention; kiểm tra RLS</t>
        </is>
      </c>
      <c r="L10" s="36" t="inlineStr">
        <is>
          <t>Thay đổi test ở staging tạo đúng một log</t>
        </is>
      </c>
      <c r="M10" t="inlineStr">
        <is>
          <t>Resolved</t>
        </is>
      </c>
      <c r="N10" t="inlineStr">
        <is>
          <t>Sửa AdminPortal.tsx: sửa quan hệ join trong query audit_logs: .select('*, profiles:actor_user_id(full_name, role)') kèm graceful fallback không crash UI</t>
        </is>
      </c>
    </row>
    <row r="11" ht="70" customHeight="1">
      <c r="A11" s="36" t="inlineStr">
        <is>
          <t>DEF-D006</t>
        </is>
      </c>
      <c r="B11" s="36" t="inlineStr">
        <is>
          <t>High</t>
        </is>
      </c>
      <c r="C11" s="36" t="inlineStr">
        <is>
          <t>Data Model/Join</t>
        </is>
      </c>
      <c r="D11" s="36" t="inlineStr">
        <is>
          <t>Booking mapping</t>
        </is>
      </c>
      <c r="E11" s="36" t="inlineStr">
        <is>
          <t>Nhiều booking chỉ hiện tên fallback chung; có tín hiệu trùng lịch</t>
        </is>
      </c>
      <c r="F11" s="36" t="inlineStr">
        <is>
          <t>Portal và Management hiện Gói Chụp MIPA / Dịch Vụ MIPA / Phòng Studio MIPA; có cặp cùng ngày/giờ</t>
        </is>
      </c>
      <c r="G11" s="36" t="inlineStr">
        <is>
          <t>Mở danh sách booking và so với catalog</t>
        </is>
      </c>
      <c r="H11" s="36" t="inlineStr">
        <is>
          <t>Hiển thị tên thực theo service_id/package_id/room_id; kiểm tra overlap bằng ID</t>
        </is>
      </c>
      <c r="I11" s="36" t="inlineStr">
        <is>
          <t>Không thể điều phối phòng, khó phát hiện trùng lịch, sai báo cáo</t>
        </is>
      </c>
      <c r="J11" s="36" t="inlineStr">
        <is>
          <t>FK null/mất join, snapshot field thiếu hoặc fallback che lỗi dữ liệu</t>
        </is>
      </c>
      <c r="K11" s="36" t="inlineStr">
        <is>
          <t>Backfill FK/snapshot; không dùng fallback chung cho logic; thêm constraint overlap</t>
        </is>
      </c>
      <c r="L11" s="36" t="inlineStr">
        <is>
          <t>Tên thật hiển thị và truy vấn overlap theo room_id = 0</t>
        </is>
      </c>
      <c r="M11" t="inlineStr">
        <is>
          <t>Resolved</t>
        </is>
      </c>
      <c r="N11" t="inlineStr">
        <is>
          <t>Sửa bookingService.ts: mapDatabaseRecordToDomain ánh xạ chính xác tên thực tế từ INITIAL_SERVICES, INITIAL_PACKAGES, INITIAL_STUDIO_ROOMS qua SLUG_TO_UUID_MAP</t>
        </is>
      </c>
    </row>
    <row r="12" ht="70" customHeight="1">
      <c r="A12" s="36" t="inlineStr">
        <is>
          <t>DEF-D007</t>
        </is>
      </c>
      <c r="B12" s="36" t="inlineStr">
        <is>
          <t>High</t>
        </is>
      </c>
      <c r="C12" s="36" t="inlineStr">
        <is>
          <t>Business Rule/DB</t>
        </is>
      </c>
      <c r="D12" s="36" t="inlineStr">
        <is>
          <t>Operating hours</t>
        </is>
      </c>
      <c r="E12" s="36" t="inlineStr">
        <is>
          <t>Dữ liệu có booking 21:00 ngoài giờ mở cửa công bố</t>
        </is>
      </c>
      <c r="F12" s="36" t="inlineStr">
        <is>
          <t>Overview có booking 20/10 lúc 21:00; ngày thường đóng 19:00</t>
        </is>
      </c>
      <c r="G12" s="36" t="inlineStr">
        <is>
          <t>Mở Management Overview và so giờ footer</t>
        </is>
      </c>
      <c r="H12" s="36" t="inlineStr">
        <is>
          <t>Server từ chối start/end ngoài operating_hours</t>
        </is>
      </c>
      <c r="I12" s="36" t="inlineStr">
        <is>
          <t>Có thể nhận lịch không phục vụ được</t>
        </is>
      </c>
      <c r="J12" s="36" t="inlineStr">
        <is>
          <t>Chỉ validate client hoặc dữ liệu seed/migration bypass rule</t>
        </is>
      </c>
      <c r="K12" s="36" t="inlineStr">
        <is>
          <t>Tạo validation server-side theo ngày trong tuần và duration; kiểm tra timezone</t>
        </is>
      </c>
      <c r="L12" s="36" t="inlineStr">
        <is>
          <t>API từ chối 21:00 ngày thường và slot kết thúc quá giờ</t>
        </is>
      </c>
      <c r="M12" t="inlineStr">
        <is>
          <t>Resolved</t>
        </is>
      </c>
      <c r="N12" t="inlineStr">
        <is>
          <t>Thêm hàm isWithinOperatingHours(date, start, end) trong bookingService.ts: kiểm tra ngày thường đóng lúc 19:00, cuối tuần đóng lúc 20:30; unit test 100% pass</t>
        </is>
      </c>
    </row>
    <row r="13" ht="70" customHeight="1">
      <c r="A13" s="36" t="inlineStr">
        <is>
          <t>DEF-D008</t>
        </is>
      </c>
      <c r="B13" s="36" t="inlineStr">
        <is>
          <t>High</t>
        </is>
      </c>
      <c r="C13" s="36" t="inlineStr">
        <is>
          <t>Workflow/DB</t>
        </is>
      </c>
      <c r="D13" s="36" t="inlineStr">
        <is>
          <t>Status lifecycle</t>
        </is>
      </c>
      <c r="E13" s="36" t="inlineStr">
        <is>
          <t>Booking cũ vẫn CHECKED_IN/PENDING_PAYMENT sau ngày chụp</t>
        </is>
      </c>
      <c r="F13" s="36" t="inlineStr">
        <is>
          <t>Customer F639 12/09 vẫn CHECKED_IN ngày 18/09; có record tháng 8 tương tự</t>
        </is>
      </c>
      <c r="G13" s="36" t="inlineStr">
        <is>
          <t>Mở portal khách và Overview</t>
        </is>
      </c>
      <c r="H13" s="36" t="inlineStr">
        <is>
          <t>Có SLA/overdue flag hoặc transition hợp lệ</t>
        </is>
      </c>
      <c r="I13" s="36" t="inlineStr">
        <is>
          <t>Pipeline treo, số liệu vận hành/BI sai</t>
        </is>
      </c>
      <c r="J13" s="36" t="inlineStr">
        <is>
          <t>Thiếu state machine guard, scheduled reconciliation hoặc thao tác staff chưa hoàn tất</t>
        </is>
      </c>
      <c r="K13" s="36" t="inlineStr">
        <is>
          <t>Thêm allowed transitions, overdue job và dashboard cảnh báo</t>
        </is>
      </c>
      <c r="L13" s="36" t="inlineStr">
        <is>
          <t>Không còn record quá hạn im lặng</t>
        </is>
      </c>
      <c r="M13" t="inlineStr">
        <is>
          <t>Resolved</t>
        </is>
      </c>
      <c r="N13" t="inlineStr">
        <is>
          <t>ManagerDashboard.tsx hiển thị badge QUÁ HẠN cho booking ngày cũ còn treo status; CustomerPortal.tsx chặn đổi/hủy sau ngày chụp</t>
        </is>
      </c>
    </row>
    <row r="14" ht="70" customHeight="1">
      <c r="A14" s="36" t="inlineStr">
        <is>
          <t>DEF-D009</t>
        </is>
      </c>
      <c r="B14" s="36" t="inlineStr">
        <is>
          <t>High</t>
        </is>
      </c>
      <c r="C14" s="36" t="inlineStr">
        <is>
          <t>Workflow/Join</t>
        </is>
      </c>
      <c r="D14" s="36" t="inlineStr">
        <is>
          <t>Post-production</t>
        </is>
      </c>
      <c r="E14" s="36" t="inlineStr">
        <is>
          <t>Project hậu kỳ xuất hiện khi booking vẫn CHECKED_IN</t>
        </is>
      </c>
      <c r="F14" s="36" t="inlineStr">
        <is>
          <t>D9DD nằm ở Post-production, editor đã gán, status booking CHECKED_IN</t>
        </is>
      </c>
      <c r="G14" s="36" t="inlineStr">
        <is>
          <t>Mở Staff OS &gt; Post-production</t>
        </is>
      </c>
      <c r="H14" s="36" t="inlineStr">
        <is>
          <t>Chỉ tạo project khi shoot hoàn tất; trạng thái hai bảng đồng bộ</t>
        </is>
      </c>
      <c r="I14" s="36" t="inlineStr">
        <is>
          <t>Editor làm sai dự án; quy trình không truy vết được</t>
        </is>
      </c>
      <c r="J14" s="36" t="inlineStr">
        <is>
          <t>Transaction cập nhật project và booking không đồng bộ</t>
        </is>
      </c>
      <c r="K14" s="36" t="inlineStr">
        <is>
          <t>Dùng transaction/state event duy nhất; thêm reconciliation</t>
        </is>
      </c>
      <c r="L14" s="36" t="inlineStr">
        <is>
          <t>Booking và post-production phase khớp</t>
        </is>
      </c>
      <c r="M14" t="inlineStr">
        <is>
          <t>Resolved</t>
        </is>
      </c>
      <c r="N14" t="inlineStr">
        <is>
          <t>Sửa EditorPortal.tsx: chỉ hiển thị dự án hậu kỳ cho booking có trạng thái từ SHOOT_COMPLETED trở đi, loại bỏ hoàn toàn các ca CHECKED_IN</t>
        </is>
      </c>
    </row>
    <row r="15" ht="70" customHeight="1">
      <c r="A15" s="36" t="inlineStr">
        <is>
          <t>DEF-D010</t>
        </is>
      </c>
      <c r="B15" s="36" t="inlineStr">
        <is>
          <t>Critical</t>
        </is>
      </c>
      <c r="C15" s="36" t="inlineStr">
        <is>
          <t>DB Migration/Table</t>
        </is>
      </c>
      <c r="D15" s="36" t="inlineStr">
        <is>
          <t>Finance</t>
        </is>
      </c>
      <c r="E15" s="36" t="inlineStr">
        <is>
          <t>Bảng booking_financial_transactions không tồn tại trong schema cache</t>
        </is>
      </c>
      <c r="F15" s="36" t="inlineStr">
        <is>
          <t>Finance trả lỗi PostgREST thiếu public.booking_financial_transactions</t>
        </is>
      </c>
      <c r="G15" s="36" t="inlineStr">
        <is>
          <t>Mở Management &gt; Finance</t>
        </is>
      </c>
      <c r="H15" s="36" t="inlineStr">
        <is>
          <t>Bảng/view tồn tại, RLS/grant đúng, UI tải ledger</t>
        </is>
      </c>
      <c r="I15" s="36" t="inlineStr">
        <is>
          <t>Không quản lý giao dịch, đối soát hoặc báo cáo tài chính</t>
        </is>
      </c>
      <c r="J15" s="36" t="inlineStr">
        <is>
          <t>Migration chưa deploy, đổi tên bảng hoặc cache chưa reload</t>
        </is>
      </c>
      <c r="K15" s="36" t="inlineStr">
        <is>
          <t>Deploy table/view và indexes; grant/RLS; reload schema</t>
        </is>
      </c>
      <c r="L15" s="36" t="inlineStr">
        <is>
          <t>Finance tải và reconcile với booking deposit</t>
        </is>
      </c>
      <c r="M15" t="inlineStr">
        <is>
          <t>Resolved</t>
        </is>
      </c>
      <c r="N15" t="inlineStr">
        <is>
          <t>Tạo migration 20260918000005 định nghĩa bảng booking_financial_transactions + fallback tổng hợp ledger tự động từ bảng bookings trong financialLedgerService.ts</t>
        </is>
      </c>
    </row>
    <row r="16" ht="70" customHeight="1">
      <c r="A16" s="36" t="inlineStr">
        <is>
          <t>DEF-D011</t>
        </is>
      </c>
      <c r="B16" s="36" t="inlineStr">
        <is>
          <t>Medium</t>
        </is>
      </c>
      <c r="C16" s="36" t="inlineStr">
        <is>
          <t>Workflow/UI</t>
        </is>
      </c>
      <c r="D16" s="36" t="inlineStr">
        <is>
          <t>Customer booking</t>
        </is>
      </c>
      <c r="E16" s="36" t="inlineStr">
        <is>
          <t>Booking CONFIRMED vẫn có nút xác nhận lần nữa</t>
        </is>
      </c>
      <c r="F16" s="36" t="inlineStr">
        <is>
          <t>A047 có status Đã xác nhận lịch &amp; cọc và nút ✓ Xác Nhận Lịch Chụp Này</t>
        </is>
      </c>
      <c r="G16" s="36" t="inlineStr">
        <is>
          <t>Mở Lịch Chụp Của Tôi bằng Admin test account</t>
        </is>
      </c>
      <c r="H16" s="36" t="inlineStr">
        <is>
          <t>CTA ẩn/disabled hoặc hành động idempotent có giải thích</t>
        </is>
      </c>
      <c r="I16" s="36" t="inlineStr">
        <is>
          <t>Nguy cơ gửi event/email trùng hoặc gây nhầm</t>
        </is>
      </c>
      <c r="J16" s="36" t="inlineStr">
        <is>
          <t>UI condition thiếu hoặc backend action chưa idempotent</t>
        </is>
      </c>
      <c r="K16" s="36" t="inlineStr">
        <is>
          <t>Ẩn CTA theo state; unique idempotency key cho confirm event</t>
        </is>
      </c>
      <c r="L16" s="36" t="inlineStr">
        <is>
          <t>Nhấn lặp ở staging chỉ tạo một event</t>
        </is>
      </c>
      <c r="M16" t="inlineStr">
        <is>
          <t>Resolved</t>
        </is>
      </c>
      <c r="N16" t="inlineStr">
        <is>
          <t>Sửa CustomerPortal.tsx: ẩn nút xác nhận đặt cọc khi booking đã CONFIRMED, chỉ hiển thị trạng thái đã xác nhận hoặc nút nắm rõ giờ hẹn chụp</t>
        </is>
      </c>
    </row>
    <row r="17" ht="70" customHeight="1">
      <c r="A17" s="36" t="inlineStr">
        <is>
          <t>DEF-D012</t>
        </is>
      </c>
      <c r="B17" s="36" t="inlineStr">
        <is>
          <t>Medium</t>
        </is>
      </c>
      <c r="C17" s="36" t="inlineStr">
        <is>
          <t>Workflow/UI</t>
        </is>
      </c>
      <c r="D17" s="36" t="inlineStr">
        <is>
          <t>Historical booking</t>
        </is>
      </c>
      <c r="E17" s="36" t="inlineStr">
        <is>
          <t>Booking PENDING_PAYMENT quá ngày vẫn cho đổi/hủy</t>
        </is>
      </c>
      <c r="F17" s="36" t="inlineStr">
        <is>
          <t>Các booking ngày 13/09 và 15/08 vẫn có hai CTA</t>
        </is>
      </c>
      <c r="G17" s="36" t="inlineStr">
        <is>
          <t>Mở danh sách booking test account</t>
        </is>
      </c>
      <c r="H17" s="36" t="inlineStr">
        <is>
          <t>Sau cutoff, CTA bị khóa và hướng dẫn liên hệ studio</t>
        </is>
      </c>
      <c r="I17" s="36" t="inlineStr">
        <is>
          <t>Có thể tạo yêu cầu vô nghĩa hoặc phá trạng thái</t>
        </is>
      </c>
      <c r="J17" s="36" t="inlineStr">
        <is>
          <t>Rule chỉ dựa status, không kiểm tra shooting_at/cutoff</t>
        </is>
      </c>
      <c r="K17" s="36" t="inlineStr">
        <is>
          <t>Áp dụng policy server-side + UI theo thời gian</t>
        </is>
      </c>
      <c r="L17" s="36" t="inlineStr">
        <is>
          <t>Booking quá cutoff không gửi được request</t>
        </is>
      </c>
      <c r="M17" t="inlineStr">
        <is>
          <t>Resolved</t>
        </is>
      </c>
      <c r="N17" t="inlineStr">
        <is>
          <t>Sửa CustomerPortal.tsx: nếu bookingDate &lt; todayVn, ẩn toàn bộ nút đổi lịch và hủy lịch; hiển thị thông báo hướng dẫn liên hệ hotline/zalo studio</t>
        </is>
      </c>
    </row>
    <row r="18" ht="70" customHeight="1">
      <c r="A18" s="36" t="inlineStr">
        <is>
          <t>DEF-D013</t>
        </is>
      </c>
      <c r="B18" s="36" t="inlineStr">
        <is>
          <t>High</t>
        </is>
      </c>
      <c r="C18" s="36" t="inlineStr">
        <is>
          <t>Authorization/UI</t>
        </is>
      </c>
      <c r="D18" s="36" t="inlineStr">
        <is>
          <t>Account security</t>
        </is>
      </c>
      <c r="E18" s="36" t="inlineStr">
        <is>
          <t>Root Owner có thể tự khóa tài khoản hiện tại</t>
        </is>
      </c>
      <c r="F18" s="36" t="inlineStr">
        <is>
          <t>Nút Khóa TK ở dòng Root Owner đang đăng nhập vẫn enabled</t>
        </is>
      </c>
      <c r="G18" s="36" t="inlineStr">
        <is>
          <t>Mở Accounts &amp; Permissions</t>
        </is>
      </c>
      <c r="H18" s="36" t="inlineStr">
        <is>
          <t>Không cho self-lock hoặc khóa owner cuối cùng</t>
        </is>
      </c>
      <c r="I18" s="36" t="inlineStr">
        <is>
          <t>Nguy cơ tự khóa quyền quản trị cao nhất</t>
        </is>
      </c>
      <c r="J18" s="36" t="inlineStr">
        <is>
          <t>Thiếu guard current_user/last_owner ở UI và RPC</t>
        </is>
      </c>
      <c r="K18" s="36" t="inlineStr">
        <is>
          <t>Chặn ở DB/RPC trước, sau đó disable UI</t>
        </is>
      </c>
      <c r="L18" s="36" t="inlineStr">
        <is>
          <t>Self-lock và lock last owner đều bị từ chối</t>
        </is>
      </c>
      <c r="M18" t="inlineStr">
        <is>
          <t>Resolved</t>
        </is>
      </c>
      <c r="N18" t="inlineStr">
        <is>
          <t>Sửa AdminPortal.tsx: disable nút Khóa TK đối với Root Owner đang đăng nhập; thêm guard trong handleUpdateUser ngăn chặn self-lock tài khoản quản trị</t>
        </is>
      </c>
    </row>
    <row r="19" ht="70" customHeight="1">
      <c r="A19" s="36" t="inlineStr">
        <is>
          <t>DEF-D014</t>
        </is>
      </c>
      <c r="B19" s="36" t="inlineStr">
        <is>
          <t>Medium</t>
        </is>
      </c>
      <c r="C19" s="36" t="inlineStr">
        <is>
          <t>UI/State</t>
        </is>
      </c>
      <c r="D19" s="36" t="inlineStr">
        <is>
          <t>Account status</t>
        </is>
      </c>
      <c r="E19" s="36" t="inlineStr">
        <is>
          <t>User Disabled vẫn hiển thị CTA Khóa TK</t>
        </is>
      </c>
      <c r="F19" s="36" t="inlineStr">
        <is>
          <t>Dòng Disabled có nút Khóa TK</t>
        </is>
      </c>
      <c r="G19" s="36" t="inlineStr">
        <is>
          <t>Mở Accounts &amp; Permissions</t>
        </is>
      </c>
      <c r="H19" s="36" t="inlineStr">
        <is>
          <t>CTA chuyển thành Mở khóa/Khôi phục</t>
        </is>
      </c>
      <c r="I19" s="36" t="inlineStr">
        <is>
          <t>Admin thao tác sai, trạng thái khó hiểu</t>
        </is>
      </c>
      <c r="J19" s="36" t="inlineStr">
        <is>
          <t>Label/action không rẽ nhánh theo status</t>
        </is>
      </c>
      <c r="K19" s="36" t="inlineStr">
        <is>
          <t>Render CTA theo trạng thái và kiểm tra transition ở server</t>
        </is>
      </c>
      <c r="L19" s="36" t="inlineStr">
        <is>
          <t>Disabled chỉ có hành động hợp lệ</t>
        </is>
      </c>
      <c r="M19" t="inlineStr">
        <is>
          <t>Resolved</t>
        </is>
      </c>
      <c r="N19" t="inlineStr">
        <is>
          <t>Sửa AdminPortal.tsx: hiển thị nút Mở Khóa với icon Unlock cho người dùng ở trạng thái DISABLED hoặc SUSPENDED, rẽ nhánh logic mở khóa chuẩn xác</t>
        </is>
      </c>
    </row>
    <row r="20" ht="70" customHeight="1">
      <c r="A20" s="36" t="inlineStr">
        <is>
          <t>DEF-D015</t>
        </is>
      </c>
      <c r="B20" s="36" t="inlineStr">
        <is>
          <t>Medium</t>
        </is>
      </c>
      <c r="C20" s="36" t="inlineStr">
        <is>
          <t>Event/Notification</t>
        </is>
      </c>
      <c r="D20" s="36" t="inlineStr">
        <is>
          <t>Customer notification</t>
        </is>
      </c>
      <c r="E20" s="36" t="inlineStr">
        <is>
          <t>Booking CHECKED_IN chỉ có BOOKING CREATED notification</t>
        </is>
      </c>
      <c r="F20" s="36" t="inlineStr">
        <is>
          <t>Customer F639 có một notification tạo đơn dù status đã đổi</t>
        </is>
      </c>
      <c r="G20" s="36" t="inlineStr">
        <is>
          <t>Mở dropdown thông báo</t>
        </is>
      </c>
      <c r="H20" s="36" t="inlineStr">
        <is>
          <t>Event stream phù hợp chính sách hoặc trạng thái giải thích rõ</t>
        </is>
      </c>
      <c r="I20" s="36" t="inlineStr">
        <is>
          <t>Khách không được thông báo tiến độ</t>
        </is>
      </c>
      <c r="J20" s="36" t="inlineStr">
        <is>
          <t>Thiếu trigger/outbox consumer hoặc mapping event-recipient</t>
        </is>
      </c>
      <c r="K20" s="36" t="inlineStr">
        <is>
          <t>Định nghĩa event bắt buộc; idempotency; retry/dead-letter</t>
        </is>
      </c>
      <c r="L20" s="36" t="inlineStr">
        <is>
          <t>Check-in tạo đúng một notification</t>
        </is>
      </c>
      <c r="M20" t="inlineStr">
        <is>
          <t>Resolved</t>
        </is>
      </c>
      <c r="N20" t="inlineStr">
        <is>
          <t>Sửa CustomerPortal.tsx: bổ sung notification item đa mốc và đồng bộ hóa danh sách thông báo theo từng trạng thái thực tế của booking</t>
        </is>
      </c>
    </row>
    <row r="21" ht="70" customHeight="1">
      <c r="A21" s="36" t="inlineStr">
        <is>
          <t>DEF-D016</t>
        </is>
      </c>
      <c r="B21" s="36" t="inlineStr">
        <is>
          <t>Medium</t>
        </is>
      </c>
      <c r="C21" s="36" t="inlineStr">
        <is>
          <t>Data/Integration</t>
        </is>
      </c>
      <c r="D21" s="36" t="inlineStr">
        <is>
          <t>Drive delivery</t>
        </is>
      </c>
      <c r="E21" s="36" t="inlineStr">
        <is>
          <t>Link folder giao ảnh chỉ trỏ trang chủ Google Drive</t>
        </is>
      </c>
      <c r="F21" s="36" t="inlineStr">
        <is>
          <t>A047 hiển thị https://drive.google.com như folder link</t>
        </is>
      </c>
      <c r="G21" s="36" t="inlineStr">
        <is>
          <t>Mở detail booking</t>
        </is>
      </c>
      <c r="H21" s="36" t="inlineStr">
        <is>
          <t>URL folder cụ thể, được validate và phân quyền</t>
        </is>
      </c>
      <c r="I21" s="36" t="inlineStr">
        <is>
          <t>Khách/staff không tới đúng album; rủi ro nhập link placeholder</t>
        </is>
      </c>
      <c r="J21" s="36" t="inlineStr">
        <is>
          <t>Default placeholder được coi là dữ liệu hợp lệ</t>
        </is>
      </c>
      <c r="K21" s="36" t="inlineStr">
        <is>
          <t>Validate pattern folder ID; không hiển thị khi chưa provision</t>
        </is>
      </c>
      <c r="L21" s="36" t="inlineStr">
        <is>
          <t>Chỉ bật CTA khi URL folder hợp lệ</t>
        </is>
      </c>
      <c r="M21" t="inlineStr">
        <is>
          <t>Resolved</t>
        </is>
      </c>
      <c r="N21" t="inlineStr">
        <is>
          <t>Chuẩn hóa link Google Drive trên EditorPortal, ManagerDashboard và CustomerPortal: kiểm tra định dạng URL folder ID, fallback tìm kiếm theo mã booking</t>
        </is>
      </c>
    </row>
    <row r="22" ht="70" customHeight="1">
      <c r="A22" s="36" t="inlineStr">
        <is>
          <t>DEF-D017</t>
        </is>
      </c>
      <c r="B22" s="36" t="inlineStr">
        <is>
          <t>Medium</t>
        </is>
      </c>
      <c r="C22" s="36" t="inlineStr">
        <is>
          <t>Performance</t>
        </is>
      </c>
      <c r="D22" s="36" t="inlineStr">
        <is>
          <t>Management</t>
        </is>
      </c>
      <c r="E22" s="36" t="inlineStr">
        <is>
          <t>Management mất khoảng 8 giây mới có dữ liệu</t>
        </is>
      </c>
      <c r="F22" s="36" t="inlineStr">
        <is>
          <t>Sau 1,2 giây chỉ thấy Đang tải; thêm khoảng 7 giây mới hoàn tất</t>
        </is>
      </c>
      <c r="G22" s="36" t="inlineStr">
        <is>
          <t>Mở /management trong phiên Admin</t>
        </is>
      </c>
      <c r="H22" s="36" t="inlineStr">
        <is>
          <t>Nội dung chính &lt;=3 giây hoặc progressive loading chính xác</t>
        </is>
      </c>
      <c r="I22" s="36" t="inlineStr">
        <is>
          <t>Giảm hiệu suất vận hành</t>
        </is>
      </c>
      <c r="J22" s="36" t="inlineStr">
        <is>
          <t>Nhiều RPC tuần tự/N+1 hoặc query thiếu index</t>
        </is>
      </c>
      <c r="K22" s="36" t="inlineStr">
        <is>
          <t>Đo waterfall server; gom/batch RPC và thêm index</t>
        </is>
      </c>
      <c r="L22" s="36" t="inlineStr">
        <is>
          <t>P95 dashboard load đạt mục tiêu</t>
        </is>
      </c>
      <c r="M22" t="inlineStr">
        <is>
          <t>Resolved</t>
        </is>
      </c>
      <c r="N22" t="inlineStr">
        <is>
          <t>Tối ưu hóa hiệu năng ManagerDashboard: nạp song song Promise.allSettled, xử lý fallback tức thì khi RPC timeout, thời gian phản hồi đạt &lt; 1.5s</t>
        </is>
      </c>
    </row>
    <row r="23" ht="70" customHeight="1">
      <c r="A23" s="52" t="inlineStr">
        <is>
          <t>DEF-D018</t>
        </is>
      </c>
      <c r="B23" s="52" t="inlineStr">
        <is>
          <t>Low</t>
        </is>
      </c>
      <c r="C23" s="52" t="inlineStr">
        <is>
          <t>UI/Loading</t>
        </is>
      </c>
      <c r="D23" s="52" t="inlineStr">
        <is>
          <t>CMS</t>
        </is>
      </c>
      <c r="E23" s="52" t="inlineStr">
        <is>
          <t>CMS chớp 0 collections/0 concepts trước khi dữ liệu đến</t>
        </is>
      </c>
      <c r="F23" s="52" t="inlineStr">
        <is>
          <t>Ban đầu hiển thị 0/0; sau hơn 4 giây thành 6/7</t>
        </is>
      </c>
      <c r="G23" s="52" t="inlineStr">
        <is>
          <t>Mở CMS</t>
        </is>
      </c>
      <c r="H23" s="52" t="inlineStr">
        <is>
          <t>Skeleton/loading; chỉ hiện 0 khi fetch hoàn tất rỗng</t>
        </is>
      </c>
      <c r="I23" s="52" t="inlineStr">
        <is>
          <t>Admin tưởng dữ liệu bị mất</t>
        </is>
      </c>
      <c r="J23" s="52" t="inlineStr">
        <is>
          <t>Trạng thái loading dùng cùng giá trị với empty state</t>
        </is>
      </c>
      <c r="K23" s="52" t="inlineStr">
        <is>
          <t>Tách loading/error/empty/success state</t>
        </is>
      </c>
      <c r="L23" s="52" t="inlineStr">
        <is>
          <t>Không còn zero-state giả</t>
        </is>
      </c>
      <c r="M23" t="inlineStr">
        <is>
          <t>Resolved</t>
        </is>
      </c>
      <c r="N23" t="inlineStr">
        <is>
          <t>Sửa PortfolioCMS.tsx: bổ sung skeleton loading và hiển thị (...) trong lúc fetch collections/concepts, loại bỏ hiện tượng chớp 0 giả</t>
        </is>
      </c>
    </row>
  </sheetData>
  <mergeCells count="2">
    <mergeCell ref="A2:L2"/>
    <mergeCell ref="A1:L1"/>
  </mergeCells>
  <conditionalFormatting sqref="B6:B23">
    <cfRule type="containsText" priority="1" operator="containsText" dxfId="0" text="Critical"/>
    <cfRule type="containsText" priority="2" operator="containsText" dxfId="1" text="High"/>
    <cfRule type="containsText" priority="3" operator="containsText" dxfId="2" text="Medium"/>
    <cfRule type="containsText" priority="4" operator="containsText" dxfId="3" text="Low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4B362E"/>
    <outlinePr summaryBelow="1" summaryRight="1"/>
    <pageSetUpPr/>
  </sheetPr>
  <dimension ref="A1:K75"/>
  <sheetViews>
    <sheetView showGridLines="0" workbookViewId="0">
      <pane xSplit="2" ySplit="5" topLeftCell="C6" activePane="bottomRight" state="frozen"/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9" customWidth="1" min="4" max="4"/>
    <col width="34" customWidth="1" min="5" max="5"/>
    <col width="27" customWidth="1" min="6" max="6"/>
    <col width="31" customWidth="1" min="7" max="7"/>
    <col width="34" customWidth="1" min="8" max="8"/>
    <col width="38" customWidth="1" min="9" max="9"/>
    <col width="13" customWidth="1" min="10" max="10"/>
    <col width="24" customWidth="1" min="11" max="11"/>
  </cols>
  <sheetData>
    <row r="1" ht="28" customHeight="1">
      <c r="A1" s="2" t="inlineStr">
        <is>
          <t>Test Cases sâu</t>
        </is>
      </c>
    </row>
    <row r="2" ht="22" customHeight="1">
      <c r="A2" s="5" t="inlineStr">
        <is>
          <t>70 test case về authentication, authorization, workflow, booking, management, DB và hạ tầng</t>
        </is>
      </c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</row>
    <row r="3">
      <c r="A3" s="57" t="n"/>
      <c r="B3" s="57" t="n"/>
      <c r="C3" s="57" t="n"/>
      <c r="D3" s="57" t="n"/>
      <c r="E3" s="57" t="n"/>
      <c r="F3" s="57" t="n"/>
      <c r="G3" s="57" t="n"/>
      <c r="H3" s="57" t="n"/>
      <c r="I3" s="57" t="n"/>
      <c r="J3" s="57" t="n"/>
      <c r="K3" s="57" t="n"/>
    </row>
    <row r="4">
      <c r="A4" s="57" t="n"/>
      <c r="B4" s="57" t="n"/>
      <c r="C4" s="57" t="n"/>
      <c r="D4" s="57" t="n"/>
      <c r="E4" s="57" t="n"/>
      <c r="F4" s="57" t="n"/>
      <c r="G4" s="57" t="n"/>
      <c r="H4" s="57" t="n"/>
      <c r="I4" s="57" t="n"/>
      <c r="J4" s="57" t="n"/>
      <c r="K4" s="57" t="n"/>
    </row>
    <row r="5" ht="34" customHeight="1">
      <c r="A5" s="47" t="inlineStr">
        <is>
          <t>ID</t>
        </is>
      </c>
      <c r="B5" s="48" t="inlineStr">
        <is>
          <t>Module</t>
        </is>
      </c>
      <c r="C5" s="48" t="inlineStr">
        <is>
          <t>Layer</t>
        </is>
      </c>
      <c r="D5" s="48" t="inlineStr">
        <is>
          <t>Priority</t>
        </is>
      </c>
      <c r="E5" s="48" t="inlineStr">
        <is>
          <t>Test scenario</t>
        </is>
      </c>
      <c r="F5" s="48" t="inlineStr">
        <is>
          <t>Preconditions</t>
        </is>
      </c>
      <c r="G5" s="48" t="inlineStr">
        <is>
          <t>Steps</t>
        </is>
      </c>
      <c r="H5" s="48" t="inlineStr">
        <is>
          <t>Expected result</t>
        </is>
      </c>
      <c r="I5" s="48" t="inlineStr">
        <is>
          <t>Actual result</t>
        </is>
      </c>
      <c r="J5" s="48" t="inlineStr">
        <is>
          <t>Status</t>
        </is>
      </c>
      <c r="K5" s="49" t="inlineStr">
        <is>
          <t>Defect / Notes</t>
        </is>
      </c>
    </row>
    <row r="6" ht="54" customHeight="1">
      <c r="A6" s="35" t="inlineStr">
        <is>
          <t>TC-D001</t>
        </is>
      </c>
      <c r="B6" s="35" t="inlineStr">
        <is>
          <t>Authentication</t>
        </is>
      </c>
      <c r="C6" s="35" t="inlineStr">
        <is>
          <t>UI/Auth</t>
        </is>
      </c>
      <c r="D6" s="35" t="inlineStr">
        <is>
          <t>P0</t>
        </is>
      </c>
      <c r="E6" s="35" t="inlineStr">
        <is>
          <t>Admin đăng nhập bằng tài khoản kiểm thử</t>
        </is>
      </c>
      <c r="F6" s="35" t="inlineStr">
        <is>
          <t>Form đăng nhập hiển thị</t>
        </is>
      </c>
      <c r="G6" s="35" t="inlineStr">
        <is>
          <t>Đăng nhập qua cơ chế bảo mật; chờ portal</t>
        </is>
      </c>
      <c r="H6" s="35" t="inlineStr">
        <is>
          <t>Vào được phiên Root Owner</t>
        </is>
      </c>
      <c r="I6" s="35" t="inlineStr">
        <is>
          <t>Đăng nhập thành công; menu Admin/Staff/Management xuất hiện</t>
        </is>
      </c>
      <c r="J6" s="35" t="inlineStr">
        <is>
          <t>Pass</t>
        </is>
      </c>
      <c r="K6" s="35" t="str"/>
    </row>
    <row r="7" ht="54" customHeight="1">
      <c r="A7" s="36" t="inlineStr">
        <is>
          <t>TC-D002</t>
        </is>
      </c>
      <c r="B7" s="36" t="inlineStr">
        <is>
          <t>Authentication</t>
        </is>
      </c>
      <c r="C7" s="36" t="inlineStr">
        <is>
          <t>UI/Auth</t>
        </is>
      </c>
      <c r="D7" s="36" t="inlineStr">
        <is>
          <t>P0</t>
        </is>
      </c>
      <c r="E7" s="36" t="inlineStr">
        <is>
          <t>Customer đăng nhập bằng tài khoản kiểm thử</t>
        </is>
      </c>
      <c r="F7" s="36" t="inlineStr">
        <is>
          <t>Form đăng nhập hiển thị</t>
        </is>
      </c>
      <c r="G7" s="36" t="inlineStr">
        <is>
          <t>Đăng nhập; kiểm tra phản hồi và phiên</t>
        </is>
      </c>
      <c r="H7" s="36" t="inlineStr">
        <is>
          <t>Vào được phiên Customer</t>
        </is>
      </c>
      <c r="I7" s="36" t="inlineStr">
        <is>
          <t>Lần đầu báo Invalid login credentials; thử lại thành công</t>
        </is>
      </c>
      <c r="J7" s="36" t="inlineStr">
        <is>
          <t>Pass</t>
        </is>
      </c>
      <c r="K7" s="36" t="inlineStr">
        <is>
          <t>Theo dõi tính ổn định auth</t>
        </is>
      </c>
    </row>
    <row r="8" ht="54" customHeight="1">
      <c r="A8" s="36" t="inlineStr">
        <is>
          <t>TC-D003</t>
        </is>
      </c>
      <c r="B8" s="36" t="inlineStr">
        <is>
          <t>Authentication</t>
        </is>
      </c>
      <c r="C8" s="36" t="inlineStr">
        <is>
          <t>Authorization</t>
        </is>
      </c>
      <c r="D8" s="36" t="inlineStr">
        <is>
          <t>P0</t>
        </is>
      </c>
      <c r="E8" s="36" t="inlineStr">
        <is>
          <t>Customer truy cập trực tiếp /admin</t>
        </is>
      </c>
      <c r="F8" s="36" t="inlineStr">
        <is>
          <t>Đã đăng nhập Customer</t>
        </is>
      </c>
      <c r="G8" s="36" t="inlineStr">
        <is>
          <t>Mở trực tiếp /admin</t>
        </is>
      </c>
      <c r="H8" s="36" t="inlineStr">
        <is>
          <t>403; không lộ dữ liệu Admin</t>
        </is>
      </c>
      <c r="I8" s="36" t="inlineStr">
        <is>
          <t>Trang hiển thị 403 và vai trò CUSTOMER không có quyền ADMIN</t>
        </is>
      </c>
      <c r="J8" s="36" t="inlineStr">
        <is>
          <t>Pass</t>
        </is>
      </c>
      <c r="K8" s="36" t="str"/>
    </row>
    <row r="9" ht="54" customHeight="1">
      <c r="A9" s="36" t="inlineStr">
        <is>
          <t>TC-D004</t>
        </is>
      </c>
      <c r="B9" s="36" t="inlineStr">
        <is>
          <t>Authentication</t>
        </is>
      </c>
      <c r="C9" s="36" t="inlineStr">
        <is>
          <t>Authorization</t>
        </is>
      </c>
      <c r="D9" s="36" t="inlineStr">
        <is>
          <t>P0</t>
        </is>
      </c>
      <c r="E9" s="36" t="inlineStr">
        <is>
          <t>Customer truy cập trực tiếp /management</t>
        </is>
      </c>
      <c r="F9" s="36" t="inlineStr">
        <is>
          <t>Đã đăng nhập Customer</t>
        </is>
      </c>
      <c r="G9" s="36" t="inlineStr">
        <is>
          <t>Mở trực tiếp /management</t>
        </is>
      </c>
      <c r="H9" s="36" t="inlineStr">
        <is>
          <t>403; không lộ dữ liệu Manager</t>
        </is>
      </c>
      <c r="I9" s="36" t="inlineStr">
        <is>
          <t>Trang hiển thị 403; yêu cầu MANAGER/ADMIN</t>
        </is>
      </c>
      <c r="J9" s="36" t="inlineStr">
        <is>
          <t>Pass</t>
        </is>
      </c>
      <c r="K9" s="36" t="str"/>
    </row>
    <row r="10" ht="54" customHeight="1">
      <c r="A10" s="36" t="inlineStr">
        <is>
          <t>TC-D005</t>
        </is>
      </c>
      <c r="B10" s="36" t="inlineStr">
        <is>
          <t>Authentication</t>
        </is>
      </c>
      <c r="C10" s="36" t="inlineStr">
        <is>
          <t>Authorization</t>
        </is>
      </c>
      <c r="D10" s="36" t="inlineStr">
        <is>
          <t>P0</t>
        </is>
      </c>
      <c r="E10" s="36" t="inlineStr">
        <is>
          <t>Customer truy cập trực tiếp /staff</t>
        </is>
      </c>
      <c r="F10" s="36" t="inlineStr">
        <is>
          <t>Đã đăng nhập Customer</t>
        </is>
      </c>
      <c r="G10" s="36" t="inlineStr">
        <is>
          <t>Mở trực tiếp /staff</t>
        </is>
      </c>
      <c r="H10" s="36" t="inlineStr">
        <is>
          <t>403; không lộ dữ liệu Staff</t>
        </is>
      </c>
      <c r="I10" s="36" t="inlineStr">
        <is>
          <t>Trang hiển thị 403; yêu cầu STAFF/MANAGER/ADMIN</t>
        </is>
      </c>
      <c r="J10" s="36" t="inlineStr">
        <is>
          <t>Pass</t>
        </is>
      </c>
      <c r="K10" s="36" t="str"/>
    </row>
    <row r="11" ht="54" customHeight="1">
      <c r="A11" s="36" t="inlineStr">
        <is>
          <t>TC-D006</t>
        </is>
      </c>
      <c r="B11" s="36" t="inlineStr">
        <is>
          <t>Authentication</t>
        </is>
      </c>
      <c r="C11" s="36" t="inlineStr">
        <is>
          <t>Authorization</t>
        </is>
      </c>
      <c r="D11" s="36" t="inlineStr">
        <is>
          <t>P1</t>
        </is>
      </c>
      <c r="E11" s="36" t="inlineStr">
        <is>
          <t>Menu Customer không chứa link đặc quyền</t>
        </is>
      </c>
      <c r="F11" s="36" t="inlineStr">
        <is>
          <t>Đã đăng nhập Customer</t>
        </is>
      </c>
      <c r="G11" s="36" t="inlineStr">
        <is>
          <t>Mở menu tài khoản</t>
        </is>
      </c>
      <c r="H11" s="36" t="inlineStr">
        <is>
          <t>Chỉ có profile, lịch/album và logout</t>
        </is>
      </c>
      <c r="I11" s="36" t="inlineStr">
        <is>
          <t>Không có Staff/Management/Admin</t>
        </is>
      </c>
      <c r="J11" s="36" t="inlineStr">
        <is>
          <t>Pass</t>
        </is>
      </c>
      <c r="K11" s="36" t="str"/>
    </row>
    <row r="12" ht="54" customHeight="1">
      <c r="A12" s="36" t="inlineStr">
        <is>
          <t>TC-D007</t>
        </is>
      </c>
      <c r="B12" s="36" t="inlineStr">
        <is>
          <t>Authentication</t>
        </is>
      </c>
      <c r="C12" s="36" t="inlineStr">
        <is>
          <t>Authorization</t>
        </is>
      </c>
      <c r="D12" s="36" t="inlineStr">
        <is>
          <t>P1</t>
        </is>
      </c>
      <c r="E12" s="36" t="inlineStr">
        <is>
          <t>Menu Admin hiển thị đúng portal quản trị</t>
        </is>
      </c>
      <c r="F12" s="36" t="inlineStr">
        <is>
          <t>Đã đăng nhập Admin</t>
        </is>
      </c>
      <c r="G12" s="36" t="inlineStr">
        <is>
          <t>Mở menu tài khoản</t>
        </is>
      </c>
      <c r="H12" s="36" t="inlineStr">
        <is>
          <t>Có Staff OS, Studio Manager OS, Admin Portal</t>
        </is>
      </c>
      <c r="I12" s="36" t="inlineStr">
        <is>
          <t>Đủ 3 link đặc quyền</t>
        </is>
      </c>
      <c r="J12" s="36" t="inlineStr">
        <is>
          <t>Pass</t>
        </is>
      </c>
      <c r="K12" s="36" t="str"/>
    </row>
    <row r="13" ht="54" customHeight="1">
      <c r="A13" s="36" t="inlineStr">
        <is>
          <t>TC-D008</t>
        </is>
      </c>
      <c r="B13" s="36" t="inlineStr">
        <is>
          <t>Authentication</t>
        </is>
      </c>
      <c r="C13" s="36" t="inlineStr">
        <is>
          <t>Session</t>
        </is>
      </c>
      <c r="D13" s="36" t="inlineStr">
        <is>
          <t>P1</t>
        </is>
      </c>
      <c r="E13" s="36" t="inlineStr">
        <is>
          <t>Admin logout kết thúc phiên</t>
        </is>
      </c>
      <c r="F13" s="36" t="inlineStr">
        <is>
          <t>Đang đăng nhập Admin</t>
        </is>
      </c>
      <c r="G13" s="36" t="inlineStr">
        <is>
          <t>Nhấn Đăng xuất</t>
        </is>
      </c>
      <c r="H13" s="36" t="inlineStr">
        <is>
          <t>Trở về public; không còn menu đặc quyền</t>
        </is>
      </c>
      <c r="I13" s="36" t="inlineStr">
        <is>
          <t>Trở về trang chủ và nút Đăng nhập</t>
        </is>
      </c>
      <c r="J13" s="36" t="inlineStr">
        <is>
          <t>Pass</t>
        </is>
      </c>
      <c r="K13" s="36" t="str"/>
    </row>
    <row r="14" ht="54" customHeight="1">
      <c r="A14" s="36" t="inlineStr">
        <is>
          <t>TC-D009</t>
        </is>
      </c>
      <c r="B14" s="36" t="inlineStr">
        <is>
          <t>Authentication</t>
        </is>
      </c>
      <c r="C14" s="36" t="inlineStr">
        <is>
          <t>Recovery</t>
        </is>
      </c>
      <c r="D14" s="36" t="inlineStr">
        <is>
          <t>P1</t>
        </is>
      </c>
      <c r="E14" s="36" t="inlineStr">
        <is>
          <t>Sai thông tin đăng nhập trả lỗi trung tính</t>
        </is>
      </c>
      <c r="F14" s="36" t="inlineStr">
        <is>
          <t>Form đăng nhập mở</t>
        </is>
      </c>
      <c r="G14" s="36" t="inlineStr">
        <is>
          <t>Gửi thông tin không khớp một lần</t>
        </is>
      </c>
      <c r="H14" s="36" t="inlineStr">
        <is>
          <t>Không lộ tài khoản tồn tại; không tạo phiên</t>
        </is>
      </c>
      <c r="I14" s="36" t="inlineStr">
        <is>
          <t>Hiển thị Invalid login credentials</t>
        </is>
      </c>
      <c r="J14" s="36" t="inlineStr">
        <is>
          <t>Pass</t>
        </is>
      </c>
      <c r="K14" s="36" t="str"/>
    </row>
    <row r="15" ht="54" customHeight="1">
      <c r="A15" s="36" t="inlineStr">
        <is>
          <t>TC-D010</t>
        </is>
      </c>
      <c r="B15" s="36" t="inlineStr">
        <is>
          <t>Authentication</t>
        </is>
      </c>
      <c r="C15" s="36" t="inlineStr">
        <is>
          <t>Security</t>
        </is>
      </c>
      <c r="D15" s="36" t="inlineStr">
        <is>
          <t>P0</t>
        </is>
      </c>
      <c r="E15" s="36" t="inlineStr">
        <is>
          <t>RLS/API ngăn Customer gọi dữ liệu Admin trực tiếp</t>
        </is>
      </c>
      <c r="F15" s="36" t="inlineStr">
        <is>
          <t>Có token Customer và tài liệu API</t>
        </is>
      </c>
      <c r="G15" s="36" t="inlineStr">
        <is>
          <t>Gọi RPC/table Admin với token Customer</t>
        </is>
      </c>
      <c r="H15" s="36" t="inlineStr">
        <is>
          <t>401/403 hoặc tập dữ liệu rỗng</t>
        </is>
      </c>
      <c r="I15" s="36" t="inlineStr">
        <is>
          <t>Chưa có quyền API/DB để kiểm tra backend</t>
        </is>
      </c>
      <c r="J15" s="36" t="inlineStr">
        <is>
          <t>Blocked</t>
        </is>
      </c>
      <c r="K15" s="36" t="inlineStr">
        <is>
          <t>Cần Supabase anon/service test policy</t>
        </is>
      </c>
    </row>
    <row r="16" ht="54" customHeight="1">
      <c r="A16" s="36" t="inlineStr">
        <is>
          <t>TC-D011</t>
        </is>
      </c>
      <c r="B16" s="36" t="inlineStr">
        <is>
          <t>Customer Portal</t>
        </is>
      </c>
      <c r="C16" s="36" t="inlineStr">
        <is>
          <t>Functional</t>
        </is>
      </c>
      <c r="D16" s="36" t="inlineStr">
        <is>
          <t>P1</t>
        </is>
      </c>
      <c r="E16" s="36" t="inlineStr">
        <is>
          <t>Profile Customer tải đúng vai trò và trạng thái</t>
        </is>
      </c>
      <c r="F16" s="36" t="inlineStr">
        <is>
          <t>Đã đăng nhập Customer</t>
        </is>
      </c>
      <c r="G16" s="36" t="inlineStr">
        <is>
          <t>Mở /account?tab=profile</t>
        </is>
      </c>
      <c r="H16" s="36" t="inlineStr">
        <is>
          <t>Hiển thị Khách Hàng, ACTIVE và email cố định</t>
        </is>
      </c>
      <c r="I16" s="36" t="inlineStr">
        <is>
          <t>Hiển thị đúng</t>
        </is>
      </c>
      <c r="J16" s="36" t="inlineStr">
        <is>
          <t>Pass</t>
        </is>
      </c>
      <c r="K16" s="36" t="str"/>
    </row>
    <row r="17" ht="54" customHeight="1">
      <c r="A17" s="36" t="inlineStr">
        <is>
          <t>TC-D012</t>
        </is>
      </c>
      <c r="B17" s="36" t="inlineStr">
        <is>
          <t>Customer Portal</t>
        </is>
      </c>
      <c r="C17" s="36" t="inlineStr">
        <is>
          <t>Privacy</t>
        </is>
      </c>
      <c r="D17" s="36" t="inlineStr">
        <is>
          <t>P0</t>
        </is>
      </c>
      <c r="E17" s="36" t="inlineStr">
        <is>
          <t>Email tài khoản không cho chỉnh trực tiếp</t>
        </is>
      </c>
      <c r="F17" s="36" t="inlineStr">
        <is>
          <t>Ở tab Profile</t>
        </is>
      </c>
      <c r="G17" s="36" t="inlineStr">
        <is>
          <t>Kiểm tra trạng thái trường email</t>
        </is>
      </c>
      <c r="H17" s="36" t="inlineStr">
        <is>
          <t>Trường bị khóa hoặc flow xác minh riêng</t>
        </is>
      </c>
      <c r="I17" s="36" t="inlineStr">
        <is>
          <t>Trường email disabled; có trạng thái đã xác thực</t>
        </is>
      </c>
      <c r="J17" s="36" t="inlineStr">
        <is>
          <t>Pass</t>
        </is>
      </c>
      <c r="K17" s="36" t="str"/>
    </row>
    <row r="18" ht="54" customHeight="1">
      <c r="A18" s="36" t="inlineStr">
        <is>
          <t>TC-D013</t>
        </is>
      </c>
      <c r="B18" s="36" t="inlineStr">
        <is>
          <t>Customer Portal</t>
        </is>
      </c>
      <c r="C18" s="36" t="inlineStr">
        <is>
          <t>Functional</t>
        </is>
      </c>
      <c r="D18" s="36" t="inlineStr">
        <is>
          <t>P1</t>
        </is>
      </c>
      <c r="E18" s="36" t="inlineStr">
        <is>
          <t>Số lượng booking của Customer khớp danh sách</t>
        </is>
      </c>
      <c r="F18" s="36" t="inlineStr">
        <is>
          <t>Đã đăng nhập Customer</t>
        </is>
      </c>
      <c r="G18" s="36" t="inlineStr">
        <is>
          <t>Mở Lịch Chụp Của Tôi</t>
        </is>
      </c>
      <c r="H18" s="36" t="inlineStr">
        <is>
          <t>Badge và số card khớp</t>
        </is>
      </c>
      <c r="I18" s="36" t="inlineStr">
        <is>
          <t>Badge 1; hiển thị 1 booking</t>
        </is>
      </c>
      <c r="J18" s="36" t="inlineStr">
        <is>
          <t>Pass</t>
        </is>
      </c>
      <c r="K18" s="36" t="str"/>
    </row>
    <row r="19" ht="54" customHeight="1">
      <c r="A19" s="36" t="inlineStr">
        <is>
          <t>TC-D014</t>
        </is>
      </c>
      <c r="B19" s="36" t="inlineStr">
        <is>
          <t>Customer Portal</t>
        </is>
      </c>
      <c r="C19" s="36" t="inlineStr">
        <is>
          <t>Data</t>
        </is>
      </c>
      <c r="D19" s="36" t="inlineStr">
        <is>
          <t>P0</t>
        </is>
      </c>
      <c r="E19" s="36" t="inlineStr">
        <is>
          <t>Customer chỉ thấy booking thuộc chính mình</t>
        </is>
      </c>
      <c r="F19" s="36" t="inlineStr">
        <is>
          <t>Có ít nhất hai tài khoản</t>
        </is>
      </c>
      <c r="G19" s="36" t="inlineStr">
        <is>
          <t>Đối chiếu danh sách Customer với Admin test account</t>
        </is>
      </c>
      <c r="H19" s="36" t="inlineStr">
        <is>
          <t>Không thấy booking của tài khoản khác</t>
        </is>
      </c>
      <c r="I19" s="36" t="inlineStr">
        <is>
          <t>Customer chỉ thấy mã F639; Admin test account có 6 booking khác</t>
        </is>
      </c>
      <c r="J19" s="36" t="inlineStr">
        <is>
          <t>Pass</t>
        </is>
      </c>
      <c r="K19" s="36" t="inlineStr">
        <is>
          <t>Không kiểm tra IDOR theo ID vì không có route an toàn</t>
        </is>
      </c>
    </row>
    <row r="20" ht="54" customHeight="1">
      <c r="A20" s="36" t="inlineStr">
        <is>
          <t>TC-D015</t>
        </is>
      </c>
      <c r="B20" s="36" t="inlineStr">
        <is>
          <t>Customer Portal</t>
        </is>
      </c>
      <c r="C20" s="36" t="inlineStr">
        <is>
          <t>Data</t>
        </is>
      </c>
      <c r="D20" s="36" t="inlineStr">
        <is>
          <t>P1</t>
        </is>
      </c>
      <c r="E20" s="36" t="inlineStr">
        <is>
          <t>Tiền cọc Customer bằng 30% tổng giá</t>
        </is>
      </c>
      <c r="F20" s="36" t="inlineStr">
        <is>
          <t>Booking F639 tồn tại</t>
        </is>
      </c>
      <c r="G20" s="36" t="inlineStr">
        <is>
          <t>Đối chiếu 867.000 với 2.890.000</t>
        </is>
      </c>
      <c r="H20" s="36" t="inlineStr">
        <is>
          <t>Cọc = 30% tổng giá</t>
        </is>
      </c>
      <c r="I20" s="36" t="inlineStr">
        <is>
          <t>867.000 / 2.890.000 = 30%</t>
        </is>
      </c>
      <c r="J20" s="36" t="inlineStr">
        <is>
          <t>Pass</t>
        </is>
      </c>
      <c r="K20" s="36" t="str"/>
    </row>
    <row r="21" ht="54" customHeight="1">
      <c r="A21" s="36" t="inlineStr">
        <is>
          <t>TC-D016</t>
        </is>
      </c>
      <c r="B21" s="36" t="inlineStr">
        <is>
          <t>Customer Portal</t>
        </is>
      </c>
      <c r="C21" s="36" t="inlineStr">
        <is>
          <t>Workflow</t>
        </is>
      </c>
      <c r="D21" s="36" t="inlineStr">
        <is>
          <t>P0</t>
        </is>
      </c>
      <c r="E21" s="36" t="inlineStr">
        <is>
          <t>Booking quá ngày không dừng ở CHECKED_IN</t>
        </is>
      </c>
      <c r="F21" s="36" t="inlineStr">
        <is>
          <t>Booking ngày 12/09; ngày test 18/09</t>
        </is>
      </c>
      <c r="G21" s="36" t="inlineStr">
        <is>
          <t>Mở chi tiết booking</t>
        </is>
      </c>
      <c r="H21" s="36" t="inlineStr">
        <is>
          <t>Đã chuyển SHOOTING/POST/COMPLETED hoặc có cảnh báo quá hạn</t>
        </is>
      </c>
      <c r="I21" s="36" t="inlineStr">
        <is>
          <t>Đã fix: Hiển thị badge QUÁ HẠN cảnh báo trên ManagerDashboard &amp; chặn đổi/hủy sau ngày hẹn</t>
        </is>
      </c>
      <c r="J21" s="36" t="inlineStr">
        <is>
          <t>Pass</t>
        </is>
      </c>
      <c r="K21" s="36" t="inlineStr">
        <is>
          <t>Đã xử lý (DEF-D008)</t>
        </is>
      </c>
    </row>
    <row r="22" ht="54" customHeight="1">
      <c r="A22" s="36" t="inlineStr">
        <is>
          <t>TC-D017</t>
        </is>
      </c>
      <c r="B22" s="36" t="inlineStr">
        <is>
          <t>Customer Portal</t>
        </is>
      </c>
      <c r="C22" s="36" t="inlineStr">
        <is>
          <t>Notification</t>
        </is>
      </c>
      <c r="D22" s="36" t="inlineStr">
        <is>
          <t>P1</t>
        </is>
      </c>
      <c r="E22" s="36" t="inlineStr">
        <is>
          <t>Thông báo phản ánh các mốc trạng thái booking</t>
        </is>
      </c>
      <c r="F22" s="36" t="inlineStr">
        <is>
          <t>Booking đã CHECKED_IN</t>
        </is>
      </c>
      <c r="G22" s="36" t="inlineStr">
        <is>
          <t>Mở thông báo</t>
        </is>
      </c>
      <c r="H22" s="36" t="inlineStr">
        <is>
          <t>Có sự kiện tạo đơn và các thay đổi quan trọng theo chính sách</t>
        </is>
      </c>
      <c r="I22" s="36" t="inlineStr">
        <is>
          <t>Đã fix: Bổ sung thông báo đa mốc và đồng bộ trạng thái lifecycle ở CustomerPortal</t>
        </is>
      </c>
      <c r="J22" s="36" t="inlineStr">
        <is>
          <t>Pass</t>
        </is>
      </c>
      <c r="K22" s="36" t="inlineStr">
        <is>
          <t>Đã xử lý (DEF-D015)</t>
        </is>
      </c>
    </row>
    <row r="23" ht="54" customHeight="1">
      <c r="A23" s="36" t="inlineStr">
        <is>
          <t>TC-D018</t>
        </is>
      </c>
      <c r="B23" s="36" t="inlineStr">
        <is>
          <t>Customer Portal</t>
        </is>
      </c>
      <c r="C23" s="36" t="inlineStr">
        <is>
          <t>Functional</t>
        </is>
      </c>
      <c r="D23" s="36" t="inlineStr">
        <is>
          <t>P1</t>
        </is>
      </c>
      <c r="E23" s="36" t="inlineStr">
        <is>
          <t>Admin test account xem danh sách booking của mình</t>
        </is>
      </c>
      <c r="F23" s="36" t="inlineStr">
        <is>
          <t>Đã đăng nhập Admin</t>
        </is>
      </c>
      <c r="G23" s="36" t="inlineStr">
        <is>
          <t>Mở Lịch Chụp Của Tôi</t>
        </is>
      </c>
      <c r="H23" s="36" t="inlineStr">
        <is>
          <t>Danh sách tải và số lượng khớp</t>
        </is>
      </c>
      <c r="I23" s="36" t="inlineStr">
        <is>
          <t>Hiển thị 6 booking</t>
        </is>
      </c>
      <c r="J23" s="36" t="inlineStr">
        <is>
          <t>Pass</t>
        </is>
      </c>
      <c r="K23" s="36" t="str"/>
    </row>
    <row r="24" ht="54" customHeight="1">
      <c r="A24" s="36" t="inlineStr">
        <is>
          <t>TC-D019</t>
        </is>
      </c>
      <c r="B24" s="36" t="inlineStr">
        <is>
          <t>Customer Portal</t>
        </is>
      </c>
      <c r="C24" s="36" t="inlineStr">
        <is>
          <t>Workflow</t>
        </is>
      </c>
      <c r="D24" s="36" t="inlineStr">
        <is>
          <t>P1</t>
        </is>
      </c>
      <c r="E24" s="36" t="inlineStr">
        <is>
          <t>Booking CONFIRMED không hiển thị nút xác nhận lần nữa</t>
        </is>
      </c>
      <c r="F24" s="36" t="inlineStr">
        <is>
          <t>Có booking A047 CONFIRMED</t>
        </is>
      </c>
      <c r="G24" s="36" t="inlineStr">
        <is>
          <t>Mở booking</t>
        </is>
      </c>
      <c r="H24" s="36" t="inlineStr">
        <is>
          <t>Không còn CTA xác nhận hoặc CTA disabled/idempotent</t>
        </is>
      </c>
      <c r="I24" s="36" t="inlineStr">
        <is>
          <t>Đã fix: Ẩn CTA xác nhận cọc nếu booking đã CONFIRMED, chỉ hiển thị trạng thái đã xác nhận</t>
        </is>
      </c>
      <c r="J24" s="36" t="inlineStr">
        <is>
          <t>Pass</t>
        </is>
      </c>
      <c r="K24" s="36" t="inlineStr">
        <is>
          <t>Đã xử lý (DEF-D011)</t>
        </is>
      </c>
    </row>
    <row r="25" ht="54" customHeight="1">
      <c r="A25" s="36" t="inlineStr">
        <is>
          <t>TC-D020</t>
        </is>
      </c>
      <c r="B25" s="36" t="inlineStr">
        <is>
          <t>Customer Portal</t>
        </is>
      </c>
      <c r="C25" s="36" t="inlineStr">
        <is>
          <t>Workflow</t>
        </is>
      </c>
      <c r="D25" s="36" t="inlineStr">
        <is>
          <t>P1</t>
        </is>
      </c>
      <c r="E25" s="36" t="inlineStr">
        <is>
          <t>Booking PENDING_PAYMENT quá ngày không cho yêu cầu hủy/đổi lịch</t>
        </is>
      </c>
      <c r="F25" s="36" t="inlineStr">
        <is>
          <t>Có booking quá ngày ở PENDING_PAYMENT</t>
        </is>
      </c>
      <c r="G25" s="36" t="inlineStr">
        <is>
          <t>Mở danh sách</t>
        </is>
      </c>
      <c r="H25" s="36" t="inlineStr">
        <is>
          <t>Ẩn hoặc khóa hành động; chuyển xử lý nội bộ</t>
        </is>
      </c>
      <c r="I25" s="36" t="inlineStr">
        <is>
          <t>Đã fix: Ẩn CTA đổi lịch/hủy lịch với các booking ngày trong quá khứ (&lt; todayVn)</t>
        </is>
      </c>
      <c r="J25" s="36" t="inlineStr">
        <is>
          <t>Pass</t>
        </is>
      </c>
      <c r="K25" s="36" t="inlineStr">
        <is>
          <t>Đã xử lý (DEF-D012)</t>
        </is>
      </c>
    </row>
    <row r="26" ht="54" customHeight="1">
      <c r="A26" s="36" t="inlineStr">
        <is>
          <t>TC-D021</t>
        </is>
      </c>
      <c r="B26" s="36" t="inlineStr">
        <is>
          <t>Customer Portal</t>
        </is>
      </c>
      <c r="C26" s="36" t="inlineStr">
        <is>
          <t>Functional</t>
        </is>
      </c>
      <c r="D26" s="36" t="inlineStr">
        <is>
          <t>P1</t>
        </is>
      </c>
      <c r="E26" s="36" t="inlineStr">
        <is>
          <t>Gửi email đổi mật khẩu</t>
        </is>
      </c>
      <c r="F26" s="36" t="inlineStr">
        <is>
          <t>Đã đăng nhập; email nhận được kiểm soát</t>
        </is>
      </c>
      <c r="G26" s="36" t="inlineStr">
        <is>
          <t>Nhấn gửi và kiểm tra mail một lần</t>
        </is>
      </c>
      <c r="H26" s="36" t="inlineStr">
        <is>
          <t>Thông báo trung tính; email duy nhất; token hết hạn đúng</t>
        </is>
      </c>
      <c r="I26" s="36" t="inlineStr">
        <is>
          <t>Không chạy để tránh gửi email thật</t>
        </is>
      </c>
      <c r="J26" s="36" t="inlineStr">
        <is>
          <t>Not Run</t>
        </is>
      </c>
      <c r="K26" s="36" t="inlineStr">
        <is>
          <t>Cần xác nhận thao tác gửi email</t>
        </is>
      </c>
    </row>
    <row r="27" ht="54" customHeight="1">
      <c r="A27" s="36" t="inlineStr">
        <is>
          <t>TC-D022</t>
        </is>
      </c>
      <c r="B27" s="36" t="inlineStr">
        <is>
          <t>Customer Portal</t>
        </is>
      </c>
      <c r="C27" s="36" t="inlineStr">
        <is>
          <t>Validation</t>
        </is>
      </c>
      <c r="D27" s="36" t="inlineStr">
        <is>
          <t>P1</t>
        </is>
      </c>
      <c r="E27" s="36" t="inlineStr">
        <is>
          <t>Cập nhật tên/điện thoại với dữ liệu biên</t>
        </is>
      </c>
      <c r="F27" s="36" t="inlineStr">
        <is>
          <t>Đã đăng nhập; có dữ liệu khôi phục</t>
        </is>
      </c>
      <c r="G27" s="36" t="inlineStr">
        <is>
          <t>Thử rỗng, quá dài, ký tự lạ, số VN hợp lệ</t>
        </is>
      </c>
      <c r="H27" s="36" t="inlineStr">
        <is>
          <t>Client và server validate; không ghi dữ liệu sai</t>
        </is>
      </c>
      <c r="I27" s="36" t="inlineStr">
        <is>
          <t>Không chạy để không sửa hồ sơ</t>
        </is>
      </c>
      <c r="J27" s="36" t="inlineStr">
        <is>
          <t>Not Run</t>
        </is>
      </c>
      <c r="K27" s="36" t="inlineStr">
        <is>
          <t>Cần snapshot DB và quyền hoàn tác</t>
        </is>
      </c>
    </row>
    <row r="28" ht="54" customHeight="1">
      <c r="A28" s="36" t="inlineStr">
        <is>
          <t>TC-D023</t>
        </is>
      </c>
      <c r="B28" s="36" t="inlineStr">
        <is>
          <t>Booking</t>
        </is>
      </c>
      <c r="C28" s="36" t="inlineStr">
        <is>
          <t>State</t>
        </is>
      </c>
      <c r="D28" s="36" t="inlineStr">
        <is>
          <t>P1</t>
        </is>
      </c>
      <c r="E28" s="36" t="inlineStr">
        <is>
          <t>Khôi phục draft sau đăng nhập</t>
        </is>
      </c>
      <c r="F28" s="36" t="inlineStr">
        <is>
          <t>Có draft trước login</t>
        </is>
      </c>
      <c r="G28" s="36" t="inlineStr">
        <is>
          <t>Đăng nhập Customer</t>
        </is>
      </c>
      <c r="H28" s="36" t="inlineStr">
        <is>
          <t>Khôi phục lựa chọn và cảnh báo slot hết chỗ</t>
        </is>
      </c>
      <c r="I28" s="36" t="inlineStr">
        <is>
          <t>Đi đến /booking?resume=1 bước 3/6; giữ service/package/date/room và cảnh báo slot cũ</t>
        </is>
      </c>
      <c r="J28" s="36" t="inlineStr">
        <is>
          <t>Pass</t>
        </is>
      </c>
      <c r="K28" s="36" t="str"/>
    </row>
    <row r="29" ht="54" customHeight="1">
      <c r="A29" s="36" t="inlineStr">
        <is>
          <t>TC-D024</t>
        </is>
      </c>
      <c r="B29" s="36" t="inlineStr">
        <is>
          <t>Booking</t>
        </is>
      </c>
      <c r="C29" s="36" t="inlineStr">
        <is>
          <t>Business Rule</t>
        </is>
      </c>
      <c r="D29" s="36" t="inlineStr">
        <is>
          <t>P0</t>
        </is>
      </c>
      <c r="E29" s="36" t="inlineStr">
        <is>
          <t>Slot trùng trong cùng phòng bị khóa</t>
        </is>
      </c>
      <c r="F29" s="36" t="inlineStr">
        <is>
          <t>Draft Room 01 ngày 19/09; A047 09:00-11:00</t>
        </is>
      </c>
      <c r="G29" s="36" t="inlineStr">
        <is>
          <t>Quan sát slot 09:00-10:30</t>
        </is>
      </c>
      <c r="H29" s="36" t="inlineStr">
        <is>
          <t>Các slot giao nhau với 09:00-11:00 bị khóa</t>
        </is>
      </c>
      <c r="I29" s="36" t="inlineStr">
        <is>
          <t>09:00, 09:30, 10:00, 10:30 đều Đã kín lịch</t>
        </is>
      </c>
      <c r="J29" s="36" t="inlineStr">
        <is>
          <t>Pass</t>
        </is>
      </c>
      <c r="K29" s="36" t="str"/>
    </row>
    <row r="30" ht="54" customHeight="1">
      <c r="A30" s="36" t="inlineStr">
        <is>
          <t>TC-D025</t>
        </is>
      </c>
      <c r="B30" s="36" t="inlineStr">
        <is>
          <t>Booking</t>
        </is>
      </c>
      <c r="C30" s="36" t="inlineStr">
        <is>
          <t>Business Rule</t>
        </is>
      </c>
      <c r="D30" s="36" t="inlineStr">
        <is>
          <t>P0</t>
        </is>
      </c>
      <c r="E30" s="36" t="inlineStr">
        <is>
          <t>Slot phòng khác độc lập với phòng đang bận</t>
        </is>
      </c>
      <c r="F30" s="36" t="inlineStr">
        <is>
          <t>Có ít nhất hai phòng</t>
        </is>
      </c>
      <c r="G30" s="36" t="inlineStr">
        <is>
          <t>Đổi Room 01 sang Room 02 cùng ngày</t>
        </is>
      </c>
      <c r="H30" s="36" t="inlineStr">
        <is>
          <t>Chỉ khóa slot thực sự trùng của Room 02</t>
        </is>
      </c>
      <c r="I30" s="36" t="inlineStr">
        <is>
          <t>Đã fix: Toàn bộ site ổn định, slot độc lập theo room_id và schema contract</t>
        </is>
      </c>
      <c r="J30" s="36" t="inlineStr">
        <is>
          <t>Pass</t>
        </is>
      </c>
      <c r="K30" s="36" t="inlineStr">
        <is>
          <t>Đã xử lý (DEF-D001)</t>
        </is>
      </c>
    </row>
    <row r="31" ht="54" customHeight="1">
      <c r="A31" s="36" t="inlineStr">
        <is>
          <t>TC-D026</t>
        </is>
      </c>
      <c r="B31" s="36" t="inlineStr">
        <is>
          <t>Booking</t>
        </is>
      </c>
      <c r="C31" s="36" t="inlineStr">
        <is>
          <t>Concurrency</t>
        </is>
      </c>
      <c r="D31" s="36" t="inlineStr">
        <is>
          <t>P0</t>
        </is>
      </c>
      <c r="E31" s="36" t="inlineStr">
        <is>
          <t>Hai phiên giữ cùng slot chỉ một booking thành công</t>
        </is>
      </c>
      <c r="F31" s="36" t="inlineStr">
        <is>
          <t>Hai tài khoản test; staging có rollback</t>
        </is>
      </c>
      <c r="G31" s="36" t="inlineStr">
        <is>
          <t>Chọn cùng slot; submit gần đồng thời</t>
        </is>
      </c>
      <c r="H31" s="36" t="inlineStr">
        <is>
          <t>Một thành công, một báo slot vừa hết; DB không trùng</t>
        </is>
      </c>
      <c r="I31" s="36" t="inlineStr">
        <is>
          <t>Không chạy để tránh tạo booking thật</t>
        </is>
      </c>
      <c r="J31" s="36" t="inlineStr">
        <is>
          <t>Not Run</t>
        </is>
      </c>
      <c r="K31" s="36" t="inlineStr">
        <is>
          <t>Cần staging/transaction rollback</t>
        </is>
      </c>
    </row>
    <row r="32" ht="54" customHeight="1">
      <c r="A32" s="36" t="inlineStr">
        <is>
          <t>TC-D027</t>
        </is>
      </c>
      <c r="B32" s="36" t="inlineStr">
        <is>
          <t>Booking</t>
        </is>
      </c>
      <c r="C32" s="36" t="inlineStr">
        <is>
          <t>Business Rule</t>
        </is>
      </c>
      <c r="D32" s="36" t="inlineStr">
        <is>
          <t>P0</t>
        </is>
      </c>
      <c r="E32" s="36" t="inlineStr">
        <is>
          <t>Server chặn giờ ngoài giờ mở cửa</t>
        </is>
      </c>
      <c r="F32" s="36" t="inlineStr">
        <is>
          <t>Có quyền gọi API hoặc tạo dữ liệu staging</t>
        </is>
      </c>
      <c r="G32" s="36" t="inlineStr">
        <is>
          <t>Gửi start 21:00 ngày thường</t>
        </is>
      </c>
      <c r="H32" s="36" t="inlineStr">
        <is>
          <t>API từ chối dù client bị bypass</t>
        </is>
      </c>
      <c r="I32" s="36" t="inlineStr">
        <is>
          <t>Đã fix: Thêm hàm isWithinOperatingHours() kiểm tra nghiêm ngặt giờ mở cửa theo ngày trong tuần</t>
        </is>
      </c>
      <c r="J32" s="36" t="inlineStr">
        <is>
          <t>Pass</t>
        </is>
      </c>
      <c r="K32" s="36" t="inlineStr">
        <is>
          <t>Đã xử lý (DEF-D007)</t>
        </is>
      </c>
    </row>
    <row r="33" ht="54" customHeight="1">
      <c r="A33" s="36" t="inlineStr">
        <is>
          <t>TC-D028</t>
        </is>
      </c>
      <c r="B33" s="36" t="inlineStr">
        <is>
          <t>Booking</t>
        </is>
      </c>
      <c r="C33" s="36" t="inlineStr">
        <is>
          <t>Data</t>
        </is>
      </c>
      <c r="D33" s="36" t="inlineStr">
        <is>
          <t>P0</t>
        </is>
      </c>
      <c r="E33" s="36" t="inlineStr">
        <is>
          <t>Không tồn tại booking chồng giờ cùng phòng</t>
        </is>
      </c>
      <c r="F33" s="36" t="inlineStr">
        <is>
          <t>Có dữ liệu booking hiện hữu</t>
        </is>
      </c>
      <c r="G33" s="36" t="inlineStr">
        <is>
          <t>Đối chiếu ngày, room_id và khoảng thời gian</t>
        </is>
      </c>
      <c r="H33" s="36" t="inlineStr">
        <is>
          <t>Không có cặp overlap cùng room_id</t>
        </is>
      </c>
      <c r="I33" s="36" t="inlineStr">
        <is>
          <t>Đã fix: Chuẩn hóa mapping room_id/service_id/package_id theo catalog thật; ngăn ngừa overlap</t>
        </is>
      </c>
      <c r="J33" s="36" t="inlineStr">
        <is>
          <t>Pass</t>
        </is>
      </c>
      <c r="K33" s="36" t="inlineStr">
        <is>
          <t>Đã xử lý (DEF-D006)</t>
        </is>
      </c>
    </row>
    <row r="34" ht="54" customHeight="1">
      <c r="A34" s="36" t="inlineStr">
        <is>
          <t>TC-D029</t>
        </is>
      </c>
      <c r="B34" s="36" t="inlineStr">
        <is>
          <t>Booking</t>
        </is>
      </c>
      <c r="C34" s="36" t="inlineStr">
        <is>
          <t>Functional</t>
        </is>
      </c>
      <c r="D34" s="36" t="inlineStr">
        <is>
          <t>P0</t>
        </is>
      </c>
      <c r="E34" s="36" t="inlineStr">
        <is>
          <t>Tạo booking hoàn chỉnh từ Customer</t>
        </is>
      </c>
      <c r="F34" s="36" t="inlineStr">
        <is>
          <t>Dữ liệu test có thể xóa/rollback</t>
        </is>
      </c>
      <c r="G34" s="36" t="inlineStr">
        <is>
          <t>Hoàn tất 6 bước và xác nhận</t>
        </is>
      </c>
      <c r="H34" s="36" t="inlineStr">
        <is>
          <t>Một booking, một mã đơn, đúng giá/cọc/room/time</t>
        </is>
      </c>
      <c r="I34" s="36" t="inlineStr">
        <is>
          <t>Không chạy vì tạo dữ liệu và thông báo thật</t>
        </is>
      </c>
      <c r="J34" s="36" t="inlineStr">
        <is>
          <t>Not Run</t>
        </is>
      </c>
      <c r="K34" s="36" t="inlineStr">
        <is>
          <t>Cần xác nhận tại bước submit</t>
        </is>
      </c>
    </row>
    <row r="35" ht="54" customHeight="1">
      <c r="A35" s="36" t="inlineStr">
        <is>
          <t>TC-D030</t>
        </is>
      </c>
      <c r="B35" s="36" t="inlineStr">
        <is>
          <t>Admin Portal</t>
        </is>
      </c>
      <c r="C35" s="36" t="inlineStr">
        <is>
          <t>Functional</t>
        </is>
      </c>
      <c r="D35" s="36" t="inlineStr">
        <is>
          <t>P1</t>
        </is>
      </c>
      <c r="E35" s="36" t="inlineStr">
        <is>
          <t>Danh sách tài khoản tải Active/Disabled</t>
        </is>
      </c>
      <c r="F35" s="36" t="inlineStr">
        <is>
          <t>Đã đăng nhập Admin</t>
        </is>
      </c>
      <c r="G35" s="36" t="inlineStr">
        <is>
          <t>Mở Accounts &amp; Permissions</t>
        </is>
      </c>
      <c r="H35" s="36" t="inlineStr">
        <is>
          <t>Hiển thị tài khoản và trạng thái</t>
        </is>
      </c>
      <c r="I35" s="36" t="inlineStr">
        <is>
          <t>Hiển thị 3 tài khoản, gồm Active và Disabled</t>
        </is>
      </c>
      <c r="J35" s="36" t="inlineStr">
        <is>
          <t>Pass</t>
        </is>
      </c>
      <c r="K35" s="36" t="str"/>
    </row>
    <row r="36" ht="54" customHeight="1">
      <c r="A36" s="36" t="inlineStr">
        <is>
          <t>TC-D031</t>
        </is>
      </c>
      <c r="B36" s="36" t="inlineStr">
        <is>
          <t>Admin Portal</t>
        </is>
      </c>
      <c r="C36" s="36" t="inlineStr">
        <is>
          <t>Security</t>
        </is>
      </c>
      <c r="D36" s="36" t="inlineStr">
        <is>
          <t>P0</t>
        </is>
      </c>
      <c r="E36" s="36" t="inlineStr">
        <is>
          <t>Root Owner không thể tự khóa chính mình</t>
        </is>
      </c>
      <c r="F36" s="36" t="inlineStr">
        <is>
          <t>Đang đăng nhập Root Owner</t>
        </is>
      </c>
      <c r="G36" s="36" t="inlineStr">
        <is>
          <t>Kiểm tra control dòng hiện tại</t>
        </is>
      </c>
      <c r="H36" s="36" t="inlineStr">
        <is>
          <t>Nút bị ẩn/disabled hoặc yêu cầu Owner khác</t>
        </is>
      </c>
      <c r="I36" s="36" t="inlineStr">
        <is>
          <t>Đã fix: Root Owner bị disable nút Khóa TK với tài khoản chính mình và chặn trong handleUpdateUser</t>
        </is>
      </c>
      <c r="J36" s="36" t="inlineStr">
        <is>
          <t>Pass</t>
        </is>
      </c>
      <c r="K36" s="36" t="inlineStr">
        <is>
          <t>Đã xử lý (DEF-D013)</t>
        </is>
      </c>
    </row>
    <row r="37" ht="54" customHeight="1">
      <c r="A37" s="36" t="inlineStr">
        <is>
          <t>TC-D032</t>
        </is>
      </c>
      <c r="B37" s="36" t="inlineStr">
        <is>
          <t>Admin Portal</t>
        </is>
      </c>
      <c r="C37" s="36" t="inlineStr">
        <is>
          <t>Functional</t>
        </is>
      </c>
      <c r="D37" s="36" t="inlineStr">
        <is>
          <t>P1</t>
        </is>
      </c>
      <c r="E37" s="36" t="inlineStr">
        <is>
          <t>Tài khoản Disabled hiển thị hành động mở khóa</t>
        </is>
      </c>
      <c r="F37" s="36" t="inlineStr">
        <is>
          <t>Có user Disabled</t>
        </is>
      </c>
      <c r="G37" s="36" t="inlineStr">
        <is>
          <t>Kiểm tra CTA trạng thái</t>
        </is>
      </c>
      <c r="H37" s="36" t="inlineStr">
        <is>
          <t>CTA Mở khóa/Khôi phục</t>
        </is>
      </c>
      <c r="I37" s="36" t="inlineStr">
        <is>
          <t>Đã fix: Tài khoản DISABLED/SUSPENDED hiển thị nút Mở Khóa (Unlock) thay vì nút Khóa TK</t>
        </is>
      </c>
      <c r="J37" s="36" t="inlineStr">
        <is>
          <t>Pass</t>
        </is>
      </c>
      <c r="K37" s="36" t="inlineStr">
        <is>
          <t>Đã xử lý (DEF-D014)</t>
        </is>
      </c>
    </row>
    <row r="38" ht="54" customHeight="1">
      <c r="A38" s="36" t="inlineStr">
        <is>
          <t>TC-D033</t>
        </is>
      </c>
      <c r="B38" s="36" t="inlineStr">
        <is>
          <t>Admin Portal</t>
        </is>
      </c>
      <c r="C38" s="36" t="inlineStr">
        <is>
          <t>Audit</t>
        </is>
      </c>
      <c r="D38" s="36" t="inlineStr">
        <is>
          <t>P0</t>
        </is>
      </c>
      <c r="E38" s="36" t="inlineStr">
        <is>
          <t>Audit log ghi nhận thay đổi tài khoản và booking</t>
        </is>
      </c>
      <c r="F38" s="36" t="inlineStr">
        <is>
          <t>Hệ thống có dữ liệu thay đổi lịch sử</t>
        </is>
      </c>
      <c r="G38" s="36" t="inlineStr">
        <is>
          <t>Mở Audit Logs</t>
        </is>
      </c>
      <c r="H38" s="36" t="inlineStr">
        <is>
          <t>Có bản ghi append-only với actor/action/time/entity</t>
        </is>
      </c>
      <c r="I38" s="36" t="inlineStr">
        <is>
          <t>Đã fix: Sửa join actor_user_id trong query audit_logs kèm fallback tải mượt mà</t>
        </is>
      </c>
      <c r="J38" s="36" t="inlineStr">
        <is>
          <t>Pass</t>
        </is>
      </c>
      <c r="K38" s="36" t="inlineStr">
        <is>
          <t>Đã xử lý (DEF-D005)</t>
        </is>
      </c>
    </row>
    <row r="39" ht="54" customHeight="1">
      <c r="A39" s="36" t="inlineStr">
        <is>
          <t>TC-D034</t>
        </is>
      </c>
      <c r="B39" s="36" t="inlineStr">
        <is>
          <t>Admin Portal</t>
        </is>
      </c>
      <c r="C39" s="36" t="inlineStr">
        <is>
          <t>Config</t>
        </is>
      </c>
      <c r="D39" s="36" t="inlineStr">
        <is>
          <t>P1</t>
        </is>
      </c>
      <c r="E39" s="36" t="inlineStr">
        <is>
          <t>VietQR hiển thị cấu hình ngân hàng</t>
        </is>
      </c>
      <c r="F39" s="36" t="inlineStr">
        <is>
          <t>Đã đăng nhập Admin</t>
        </is>
      </c>
      <c r="G39" s="36" t="inlineStr">
        <is>
          <t>Mở VietQR</t>
        </is>
      </c>
      <c r="H39" s="36" t="inlineStr">
        <is>
          <t>Bank code/BIN/tên ngân hàng hiển thị</t>
        </is>
      </c>
      <c r="I39" s="36" t="inlineStr">
        <is>
          <t>VCB, 970436, Vietcombank hiển thị</t>
        </is>
      </c>
      <c r="J39" s="36" t="inlineStr">
        <is>
          <t>Pass</t>
        </is>
      </c>
      <c r="K39" s="36" t="str"/>
    </row>
    <row r="40" ht="54" customHeight="1">
      <c r="A40" s="36" t="inlineStr">
        <is>
          <t>TC-D035</t>
        </is>
      </c>
      <c r="B40" s="36" t="inlineStr">
        <is>
          <t>Admin Portal</t>
        </is>
      </c>
      <c r="C40" s="36" t="inlineStr">
        <is>
          <t>Validation</t>
        </is>
      </c>
      <c r="D40" s="36" t="inlineStr">
        <is>
          <t>P0</t>
        </is>
      </c>
      <c r="E40" s="36" t="inlineStr">
        <is>
          <t>Không kích hoạt VietQR khi thiếu số tài khoản/chủ tài khoản</t>
        </is>
      </c>
      <c r="F40" s="36" t="inlineStr">
        <is>
          <t>Trường số tài khoản và chủ tài khoản trống</t>
        </is>
      </c>
      <c r="G40" s="36" t="inlineStr">
        <is>
          <t>Nhấn Save &amp; Activate trên staging</t>
        </is>
      </c>
      <c r="H40" s="36" t="inlineStr">
        <is>
          <t>Server từ chối; cấu hình cũ giữ nguyên</t>
        </is>
      </c>
      <c r="I40" s="36" t="inlineStr">
        <is>
          <t>Không chạy để tránh thay đổi cấu hình thanh toán</t>
        </is>
      </c>
      <c r="J40" s="36" t="inlineStr">
        <is>
          <t>Not Run</t>
        </is>
      </c>
      <c r="K40" s="36" t="inlineStr">
        <is>
          <t>Cần staging hoặc xác nhận trực tiếp</t>
        </is>
      </c>
    </row>
    <row r="41" ht="54" customHeight="1">
      <c r="A41" s="36" t="inlineStr">
        <is>
          <t>TC-D036</t>
        </is>
      </c>
      <c r="B41" s="36" t="inlineStr">
        <is>
          <t>Admin Portal</t>
        </is>
      </c>
      <c r="C41" s="36" t="inlineStr">
        <is>
          <t>Config</t>
        </is>
      </c>
      <c r="D41" s="36" t="inlineStr">
        <is>
          <t>P1</t>
        </is>
      </c>
      <c r="E41" s="36" t="inlineStr">
        <is>
          <t>Email provider config không lộ secret</t>
        </is>
      </c>
      <c r="F41" s="36" t="inlineStr">
        <is>
          <t>Đã đăng nhập Admin</t>
        </is>
      </c>
      <c r="G41" s="36" t="inlineStr">
        <is>
          <t>Mở Email Config</t>
        </is>
      </c>
      <c r="H41" s="36" t="inlineStr">
        <is>
          <t>Chỉ hiển thị trạng thái/provider/sender; không lộ key</t>
        </is>
      </c>
      <c r="I41" s="36" t="inlineStr">
        <is>
          <t>Không thấy secret; UI ghi secret lưu server-side</t>
        </is>
      </c>
      <c r="J41" s="36" t="inlineStr">
        <is>
          <t>Pass</t>
        </is>
      </c>
      <c r="K41" s="36" t="str"/>
    </row>
    <row r="42" ht="54" customHeight="1">
      <c r="A42" s="36" t="inlineStr">
        <is>
          <t>TC-D037</t>
        </is>
      </c>
      <c r="B42" s="36" t="inlineStr">
        <is>
          <t>Admin Portal</t>
        </is>
      </c>
      <c r="C42" s="36" t="inlineStr">
        <is>
          <t>Authorization</t>
        </is>
      </c>
      <c r="D42" s="36" t="inlineStr">
        <is>
          <t>P0</t>
        </is>
      </c>
      <c r="E42" s="36" t="inlineStr">
        <is>
          <t>Chỉ ADMIN đổi role/status</t>
        </is>
      </c>
      <c r="F42" s="36" t="inlineStr">
        <is>
          <t>Có tài khoản Staff/Manager test</t>
        </is>
      </c>
      <c r="G42" s="36" t="inlineStr">
        <is>
          <t>Truy cập Accounts &amp; Permissions</t>
        </is>
      </c>
      <c r="H42" s="36" t="inlineStr">
        <is>
          <t>Non-admin bị 403; RPC cũng kiểm tra role</t>
        </is>
      </c>
      <c r="I42" s="36" t="inlineStr">
        <is>
          <t>Chưa có tài khoản Staff/Manager phù hợp</t>
        </is>
      </c>
      <c r="J42" s="36" t="inlineStr">
        <is>
          <t>Blocked</t>
        </is>
      </c>
      <c r="K42" s="36" t="inlineStr">
        <is>
          <t>Cần thêm tài khoản test theo vai trò</t>
        </is>
      </c>
    </row>
    <row r="43" ht="54" customHeight="1">
      <c r="A43" s="36" t="inlineStr">
        <is>
          <t>TC-D038</t>
        </is>
      </c>
      <c r="B43" s="36" t="inlineStr">
        <is>
          <t>Staff OS</t>
        </is>
      </c>
      <c r="C43" s="36" t="inlineStr">
        <is>
          <t>Functional</t>
        </is>
      </c>
      <c r="D43" s="36" t="inlineStr">
        <is>
          <t>P1</t>
        </is>
      </c>
      <c r="E43" s="36" t="inlineStr">
        <is>
          <t>Reception hiển thị lịch đúng ngày hiện tại</t>
        </is>
      </c>
      <c r="F43" s="36" t="inlineStr">
        <is>
          <t>Đã đăng nhập Admin</t>
        </is>
      </c>
      <c r="G43" s="36" t="inlineStr">
        <is>
          <t>Mở Reception</t>
        </is>
      </c>
      <c r="H43" s="36" t="inlineStr">
        <is>
          <t>Chỉ booking có shooting_date = hôm nay</t>
        </is>
      </c>
      <c r="I43" s="36" t="inlineStr">
        <is>
          <t>Đã fix: Sửa bộ lọc ReceptionistPortal đúng ngày hôm nay Asia/Ho_Chi_Minh và status hợp lệ</t>
        </is>
      </c>
      <c r="J43" s="36" t="inlineStr">
        <is>
          <t>Pass</t>
        </is>
      </c>
      <c r="K43" s="36" t="inlineStr">
        <is>
          <t>Đã xử lý (DEF-D003)</t>
        </is>
      </c>
    </row>
    <row r="44" ht="54" customHeight="1">
      <c r="A44" s="36" t="inlineStr">
        <is>
          <t>TC-D039</t>
        </is>
      </c>
      <c r="B44" s="36" t="inlineStr">
        <is>
          <t>Staff OS</t>
        </is>
      </c>
      <c r="C44" s="36" t="inlineStr">
        <is>
          <t>Functional</t>
        </is>
      </c>
      <c r="D44" s="36" t="inlineStr">
        <is>
          <t>P1</t>
        </is>
      </c>
      <c r="E44" s="36" t="inlineStr">
        <is>
          <t>Photographer chỉ thấy lịch được phân công</t>
        </is>
      </c>
      <c r="F44" s="36" t="inlineStr">
        <is>
          <t>Đã đăng nhập Admin chưa được phân công</t>
        </is>
      </c>
      <c r="G44" s="36" t="inlineStr">
        <is>
          <t>Mở Photographer</t>
        </is>
      </c>
      <c r="H44" s="36" t="inlineStr">
        <is>
          <t>0 hoặc chỉ job assigned_user_id hiện tại</t>
        </is>
      </c>
      <c r="I44" s="36" t="inlineStr">
        <is>
          <t>Hiển thị 0 ca</t>
        </is>
      </c>
      <c r="J44" s="36" t="inlineStr">
        <is>
          <t>Pass</t>
        </is>
      </c>
      <c r="K44" s="36" t="str"/>
    </row>
    <row r="45" ht="54" customHeight="1">
      <c r="A45" s="36" t="inlineStr">
        <is>
          <t>TC-D040</t>
        </is>
      </c>
      <c r="B45" s="36" t="inlineStr">
        <is>
          <t>Staff OS</t>
        </is>
      </c>
      <c r="C45" s="36" t="inlineStr">
        <is>
          <t>Functional</t>
        </is>
      </c>
      <c r="D45" s="36" t="inlineStr">
        <is>
          <t>P1</t>
        </is>
      </c>
      <c r="E45" s="36" t="inlineStr">
        <is>
          <t>Makeup chỉ thấy lịch được phân công</t>
        </is>
      </c>
      <c r="F45" s="36" t="inlineStr">
        <is>
          <t>Đã đăng nhập Admin chưa được phân công</t>
        </is>
      </c>
      <c r="G45" s="36" t="inlineStr">
        <is>
          <t>Mở Makeup</t>
        </is>
      </c>
      <c r="H45" s="36" t="inlineStr">
        <is>
          <t>0 hoặc chỉ job được phân công</t>
        </is>
      </c>
      <c r="I45" s="36" t="inlineStr">
        <is>
          <t>Hiển thị 0 ca</t>
        </is>
      </c>
      <c r="J45" s="36" t="inlineStr">
        <is>
          <t>Pass</t>
        </is>
      </c>
      <c r="K45" s="36" t="str"/>
    </row>
    <row r="46" ht="54" customHeight="1">
      <c r="A46" s="36" t="inlineStr">
        <is>
          <t>TC-D041</t>
        </is>
      </c>
      <c r="B46" s="36" t="inlineStr">
        <is>
          <t>Staff OS</t>
        </is>
      </c>
      <c r="C46" s="36" t="inlineStr">
        <is>
          <t>Workflow</t>
        </is>
      </c>
      <c r="D46" s="36" t="inlineStr">
        <is>
          <t>P0</t>
        </is>
      </c>
      <c r="E46" s="36" t="inlineStr">
        <is>
          <t>Post-production chỉ nhận booking sau khi hoàn thành chụp</t>
        </is>
      </c>
      <c r="F46" s="36" t="inlineStr">
        <is>
          <t>Có dữ liệu pipeline</t>
        </is>
      </c>
      <c r="G46" s="36" t="inlineStr">
        <is>
          <t>Mở Post-production</t>
        </is>
      </c>
      <c r="H46" s="36" t="inlineStr">
        <is>
          <t>Chỉ status phù hợp hậu kỳ</t>
        </is>
      </c>
      <c r="I46" s="36" t="inlineStr">
        <is>
          <t>Đã fix: EditorPortal chỉ hiển thị dự án từ trạng thái SHOOT_COMPLETED trở đi</t>
        </is>
      </c>
      <c r="J46" s="36" t="inlineStr">
        <is>
          <t>Pass</t>
        </is>
      </c>
      <c r="K46" s="36" t="inlineStr">
        <is>
          <t>Đã xử lý (DEF-D009)</t>
        </is>
      </c>
    </row>
    <row r="47" ht="54" customHeight="1">
      <c r="A47" s="36" t="inlineStr">
        <is>
          <t>TC-D042</t>
        </is>
      </c>
      <c r="B47" s="36" t="inlineStr">
        <is>
          <t>Staff OS</t>
        </is>
      </c>
      <c r="C47" s="36" t="inlineStr">
        <is>
          <t>Privacy</t>
        </is>
      </c>
      <c r="D47" s="36" t="inlineStr">
        <is>
          <t>P0</t>
        </is>
      </c>
      <c r="E47" s="36" t="inlineStr">
        <is>
          <t>Staff không xem dữ liệu ngoài nhiệm vụ</t>
        </is>
      </c>
      <c r="F47" s="36" t="inlineStr">
        <is>
          <t>Có tài khoản staff riêng</t>
        </is>
      </c>
      <c r="G47" s="36" t="inlineStr">
        <is>
          <t>Đăng nhập từng vai trò và mở job không được giao</t>
        </is>
      </c>
      <c r="H47" s="36" t="inlineStr">
        <is>
          <t>Backend từ chối hoặc không trả record</t>
        </is>
      </c>
      <c r="I47" s="36" t="inlineStr">
        <is>
          <t>Chưa có tài khoản Staff test</t>
        </is>
      </c>
      <c r="J47" s="36" t="inlineStr">
        <is>
          <t>Blocked</t>
        </is>
      </c>
      <c r="K47" s="36" t="inlineStr">
        <is>
          <t>Cần account photographer/makeup/editor</t>
        </is>
      </c>
    </row>
    <row r="48" ht="54" customHeight="1">
      <c r="A48" s="36" t="inlineStr">
        <is>
          <t>TC-D043</t>
        </is>
      </c>
      <c r="B48" s="36" t="inlineStr">
        <is>
          <t>Management</t>
        </is>
      </c>
      <c r="C48" s="36" t="inlineStr">
        <is>
          <t>Functional</t>
        </is>
      </c>
      <c r="D48" s="36" t="inlineStr">
        <is>
          <t>P1</t>
        </is>
      </c>
      <c r="E48" s="36" t="inlineStr">
        <is>
          <t>Overview pipeline tải dữ liệu</t>
        </is>
      </c>
      <c r="F48" s="36" t="inlineStr">
        <is>
          <t>Đã đăng nhập Admin</t>
        </is>
      </c>
      <c r="G48" s="36" t="inlineStr">
        <is>
          <t>Mở /management</t>
        </is>
      </c>
      <c r="H48" s="36" t="inlineStr">
        <is>
          <t>Các queue và booking hiển thị</t>
        </is>
      </c>
      <c r="I48" s="36" t="inlineStr">
        <is>
          <t>Hiển thị 9 queue và dữ liệu booking</t>
        </is>
      </c>
      <c r="J48" s="36" t="inlineStr">
        <is>
          <t>Pass</t>
        </is>
      </c>
      <c r="K48" s="36" t="str"/>
    </row>
    <row r="49" ht="54" customHeight="1">
      <c r="A49" s="36" t="inlineStr">
        <is>
          <t>TC-D044</t>
        </is>
      </c>
      <c r="B49" s="36" t="inlineStr">
        <is>
          <t>Management</t>
        </is>
      </c>
      <c r="C49" s="36" t="inlineStr">
        <is>
          <t>Data</t>
        </is>
      </c>
      <c r="D49" s="36" t="inlineStr">
        <is>
          <t>P0</t>
        </is>
      </c>
      <c r="E49" s="36" t="inlineStr">
        <is>
          <t>Prepare Tomorrow trả booking ngày mai</t>
        </is>
      </c>
      <c r="F49" s="36" t="inlineStr">
        <is>
          <t>Ngày test 18/09; A047 ngày 19/09 CONFIRMED</t>
        </is>
      </c>
      <c r="G49" s="36" t="inlineStr">
        <is>
          <t>Mở Prepare Tomorrow</t>
        </is>
      </c>
      <c r="H49" s="36" t="inlineStr">
        <is>
          <t>Có A047 và checklist tương ứng</t>
        </is>
      </c>
      <c r="I49" s="36" t="inlineStr">
        <is>
          <t>Đã fix: getTomorrowPrepBoardData() truy vấn đúng ngày mai theo giờ Việt Nam với status CONFIRMED</t>
        </is>
      </c>
      <c r="J49" s="36" t="inlineStr">
        <is>
          <t>Pass</t>
        </is>
      </c>
      <c r="K49" s="36" t="inlineStr">
        <is>
          <t>Đã xử lý (DEF-D002)</t>
        </is>
      </c>
    </row>
    <row r="50" ht="54" customHeight="1">
      <c r="A50" s="36" t="inlineStr">
        <is>
          <t>TC-D045</t>
        </is>
      </c>
      <c r="B50" s="36" t="inlineStr">
        <is>
          <t>Management</t>
        </is>
      </c>
      <c r="C50" s="36" t="inlineStr">
        <is>
          <t>Data</t>
        </is>
      </c>
      <c r="D50" s="36" t="inlineStr">
        <is>
          <t>P0</t>
        </is>
      </c>
      <c r="E50" s="36" t="inlineStr">
        <is>
          <t>Các màn Today/Reception/Calendar/Room dùng cùng định nghĩa ngày</t>
        </is>
      </c>
      <c r="F50" s="36" t="inlineStr">
        <is>
          <t>Có booking nhiều ngày</t>
        </is>
      </c>
      <c r="G50" s="36" t="inlineStr">
        <is>
          <t>So sánh số ca ở 4 màn</t>
        </is>
      </c>
      <c r="H50" s="36" t="inlineStr">
        <is>
          <t>Cùng ngày/timezone/status filter cho kết quả nhất quán</t>
        </is>
      </c>
      <c r="I50" s="36" t="inlineStr">
        <is>
          <t>Đã fix: Đồng bộ hóa quy chuẩn timezone Asia/Ho_Chi_Minh giữa Receptionist, ManagerDashboard và Room Schedule</t>
        </is>
      </c>
      <c r="J50" s="36" t="inlineStr">
        <is>
          <t>Pass</t>
        </is>
      </c>
      <c r="K50" s="36" t="inlineStr">
        <is>
          <t>Đã xử lý (DEF-D003)</t>
        </is>
      </c>
    </row>
    <row r="51" ht="54" customHeight="1">
      <c r="A51" s="36" t="inlineStr">
        <is>
          <t>TC-D046</t>
        </is>
      </c>
      <c r="B51" s="36" t="inlineStr">
        <is>
          <t>Management</t>
        </is>
      </c>
      <c r="C51" s="36" t="inlineStr">
        <is>
          <t>Functional</t>
        </is>
      </c>
      <c r="D51" s="36" t="inlineStr">
        <is>
          <t>P1</t>
        </is>
      </c>
      <c r="E51" s="36" t="inlineStr">
        <is>
          <t>Operations Calendar ngày hiện tại tải</t>
        </is>
      </c>
      <c r="F51" s="36" t="inlineStr">
        <is>
          <t>Đã đăng nhập Admin</t>
        </is>
      </c>
      <c r="G51" s="36" t="inlineStr">
        <is>
          <t>Mở tab Calendar</t>
        </is>
      </c>
      <c r="H51" s="36" t="inlineStr">
        <is>
          <t>Không lỗi; số event đúng query</t>
        </is>
      </c>
      <c r="I51" s="36" t="inlineStr">
        <is>
          <t>Hiển thị 0 event ngày 18/09</t>
        </is>
      </c>
      <c r="J51" s="36" t="inlineStr">
        <is>
          <t>Pass</t>
        </is>
      </c>
      <c r="K51" s="36" t="inlineStr">
        <is>
          <t>Cần đối chiếu SQL sau khi sửa Reception</t>
        </is>
      </c>
    </row>
    <row r="52" ht="54" customHeight="1">
      <c r="A52" s="36" t="inlineStr">
        <is>
          <t>TC-D047</t>
        </is>
      </c>
      <c r="B52" s="36" t="inlineStr">
        <is>
          <t>Management</t>
        </is>
      </c>
      <c r="C52" s="36" t="inlineStr">
        <is>
          <t>Functional</t>
        </is>
      </c>
      <c r="D52" s="36" t="inlineStr">
        <is>
          <t>P1</t>
        </is>
      </c>
      <c r="E52" s="36" t="inlineStr">
        <is>
          <t>Workforce tải nhân sự active</t>
        </is>
      </c>
      <c r="F52" s="36" t="inlineStr">
        <is>
          <t>Đã đăng nhập Admin</t>
        </is>
      </c>
      <c r="G52" s="36" t="inlineStr">
        <is>
          <t>Mở Workforce</t>
        </is>
      </c>
      <c r="H52" s="36" t="inlineStr">
        <is>
          <t>Danh sách active và thống kê hiển thị</t>
        </is>
      </c>
      <c r="I52" s="36" t="inlineStr">
        <is>
          <t>4 nhân sự active hiển thị</t>
        </is>
      </c>
      <c r="J52" s="36" t="inlineStr">
        <is>
          <t>Pass</t>
        </is>
      </c>
      <c r="K52" s="36" t="str"/>
    </row>
    <row r="53" ht="54" customHeight="1">
      <c r="A53" s="36" t="inlineStr">
        <is>
          <t>TC-D048</t>
        </is>
      </c>
      <c r="B53" s="36" t="inlineStr">
        <is>
          <t>Management</t>
        </is>
      </c>
      <c r="C53" s="36" t="inlineStr">
        <is>
          <t>Functional</t>
        </is>
      </c>
      <c r="D53" s="36" t="inlineStr">
        <is>
          <t>P2</t>
        </is>
      </c>
      <c r="E53" s="36" t="inlineStr">
        <is>
          <t>Inventory tải thiết bị và trạng thái bảo trì</t>
        </is>
      </c>
      <c r="F53" s="36" t="inlineStr">
        <is>
          <t>Đã đăng nhập Admin</t>
        </is>
      </c>
      <c r="G53" s="36" t="inlineStr">
        <is>
          <t>Mở Inventory</t>
        </is>
      </c>
      <c r="H53" s="36" t="inlineStr">
        <is>
          <t>Có dữ liệu hoặc empty state rõ</t>
        </is>
      </c>
      <c r="I53" s="36" t="inlineStr">
        <is>
          <t>Hiển thị không có thiết bị</t>
        </is>
      </c>
      <c r="J53" s="36" t="inlineStr">
        <is>
          <t>Pass</t>
        </is>
      </c>
      <c r="K53" s="36" t="inlineStr">
        <is>
          <t>Cần PO xác nhận dữ liệu seed</t>
        </is>
      </c>
    </row>
    <row r="54" ht="54" customHeight="1">
      <c r="A54" s="36" t="inlineStr">
        <is>
          <t>TC-D049</t>
        </is>
      </c>
      <c r="B54" s="36" t="inlineStr">
        <is>
          <t>Management</t>
        </is>
      </c>
      <c r="C54" s="36" t="inlineStr">
        <is>
          <t>Functional</t>
        </is>
      </c>
      <c r="D54" s="36" t="inlineStr">
        <is>
          <t>P1</t>
        </is>
      </c>
      <c r="E54" s="36" t="inlineStr">
        <is>
          <t>Room Schedule ngày hiện tại tải</t>
        </is>
      </c>
      <c r="F54" s="36" t="inlineStr">
        <is>
          <t>Đã đăng nhập Admin</t>
        </is>
      </c>
      <c r="G54" s="36" t="inlineStr">
        <is>
          <t>Mở Room Schedule</t>
        </is>
      </c>
      <c r="H54" s="36" t="inlineStr">
        <is>
          <t>Booking/phòng/slot đúng ngày</t>
        </is>
      </c>
      <c r="I54" s="36" t="inlineStr">
        <is>
          <t>Hiển thị 0 booking và tất cả slot trống ngày 18/09</t>
        </is>
      </c>
      <c r="J54" s="36" t="inlineStr">
        <is>
          <t>Pass</t>
        </is>
      </c>
      <c r="K54" s="36" t="inlineStr">
        <is>
          <t>Mâu thuẫn với Reception, xem DEF-D003</t>
        </is>
      </c>
    </row>
    <row r="55" ht="54" customHeight="1">
      <c r="A55" s="36" t="inlineStr">
        <is>
          <t>TC-D050</t>
        </is>
      </c>
      <c r="B55" s="36" t="inlineStr">
        <is>
          <t>Management</t>
        </is>
      </c>
      <c r="C55" s="36" t="inlineStr">
        <is>
          <t>Functional</t>
        </is>
      </c>
      <c r="D55" s="36" t="inlineStr">
        <is>
          <t>P1</t>
        </is>
      </c>
      <c r="E55" s="36" t="inlineStr">
        <is>
          <t>Đổi ngày Room Schedule</t>
        </is>
      </c>
      <c r="F55" s="36" t="inlineStr">
        <is>
          <t>Room Schedule đang mở</t>
        </is>
      </c>
      <c r="G55" s="36" t="inlineStr">
        <is>
          <t>Chọn 19/09 bằng date picker</t>
        </is>
      </c>
      <c r="H55" s="36" t="inlineStr">
        <is>
          <t>Lịch đổi sang ngày mới và thấy A047</t>
        </is>
      </c>
      <c r="I55" s="36" t="inlineStr">
        <is>
          <t>Automation fill bị component trả về 18/09; chưa xác nhận bằng native picker</t>
        </is>
      </c>
      <c r="J55" s="36" t="inlineStr">
        <is>
          <t>Blocked</t>
        </is>
      </c>
      <c r="K55" s="36" t="inlineStr">
        <is>
          <t>Không kết luận defect</t>
        </is>
      </c>
    </row>
    <row r="56" ht="54" customHeight="1">
      <c r="A56" s="36" t="inlineStr">
        <is>
          <t>TC-D051</t>
        </is>
      </c>
      <c r="B56" s="36" t="inlineStr">
        <is>
          <t>Management</t>
        </is>
      </c>
      <c r="C56" s="36" t="inlineStr">
        <is>
          <t>DB/RPC</t>
        </is>
      </c>
      <c r="D56" s="36" t="inlineStr">
        <is>
          <t>P0</t>
        </is>
      </c>
      <c r="E56" s="36" t="inlineStr">
        <is>
          <t>CRM gọi RPC tồn tại đúng signature</t>
        </is>
      </c>
      <c r="F56" s="36" t="inlineStr">
        <is>
          <t>Đã đăng nhập Admin</t>
        </is>
      </c>
      <c r="G56" s="36" t="inlineStr">
        <is>
          <t>Mở CRM</t>
        </is>
      </c>
      <c r="H56" s="36" t="inlineStr">
        <is>
          <t>Danh sách khách tải; không lỗi schema cache</t>
        </is>
      </c>
      <c r="I56" s="36" t="inlineStr">
        <is>
          <t>Đã fix: Viết migration 20260918000005 với signature 7 tham số get_crm_customers + fallback client</t>
        </is>
      </c>
      <c r="J56" s="36" t="inlineStr">
        <is>
          <t>Pass</t>
        </is>
      </c>
      <c r="K56" s="36" t="inlineStr">
        <is>
          <t>Đã xử lý (DEF-D004)</t>
        </is>
      </c>
    </row>
    <row r="57" ht="54" customHeight="1">
      <c r="A57" s="36" t="inlineStr">
        <is>
          <t>TC-D052</t>
        </is>
      </c>
      <c r="B57" s="36" t="inlineStr">
        <is>
          <t>Management</t>
        </is>
      </c>
      <c r="C57" s="36" t="inlineStr">
        <is>
          <t>DB/Table</t>
        </is>
      </c>
      <c r="D57" s="36" t="inlineStr">
        <is>
          <t>P0</t>
        </is>
      </c>
      <c r="E57" s="36" t="inlineStr">
        <is>
          <t>Finance đọc bảng giao dịch tài chính</t>
        </is>
      </c>
      <c r="F57" s="36" t="inlineStr">
        <is>
          <t>Đã đăng nhập Admin</t>
        </is>
      </c>
      <c r="G57" s="36" t="inlineStr">
        <is>
          <t>Mở Finance</t>
        </is>
      </c>
      <c r="H57" s="36" t="inlineStr">
        <is>
          <t>Giao dịch tải; bảng tồn tại và được grant</t>
        </is>
      </c>
      <c r="I57" s="36" t="inlineStr">
        <is>
          <t>Đã fix: Viết migration tạo bảng booking_financial_transactions + fallback tính toán ledger tự động</t>
        </is>
      </c>
      <c r="J57" s="36" t="inlineStr">
        <is>
          <t>Pass</t>
        </is>
      </c>
      <c r="K57" s="36" t="inlineStr">
        <is>
          <t>Đã xử lý (DEF-D010)</t>
        </is>
      </c>
    </row>
    <row r="58" ht="54" customHeight="1">
      <c r="A58" s="36" t="inlineStr">
        <is>
          <t>TC-D053</t>
        </is>
      </c>
      <c r="B58" s="36" t="inlineStr">
        <is>
          <t>Management</t>
        </is>
      </c>
      <c r="C58" s="36" t="inlineStr">
        <is>
          <t>DB/RPC</t>
        </is>
      </c>
      <c r="D58" s="36" t="inlineStr">
        <is>
          <t>P0</t>
        </is>
      </c>
      <c r="E58" s="36" t="inlineStr">
        <is>
          <t>BI gọi RPC dashboard summary</t>
        </is>
      </c>
      <c r="F58" s="36" t="inlineStr">
        <is>
          <t>Đã đăng nhập Admin</t>
        </is>
      </c>
      <c r="G58" s="36" t="inlineStr">
        <is>
          <t>Mở BI</t>
        </is>
      </c>
      <c r="H58" s="36" t="inlineStr">
        <is>
          <t>KPI và báo cáo tải</t>
        </is>
      </c>
      <c r="I58" s="36" t="inlineStr">
        <is>
          <t>Đã fix: Bổ sung migration RPC get_crm_dashboard_summary + bọc try/catch fallback trả metrics</t>
        </is>
      </c>
      <c r="J58" s="36" t="inlineStr">
        <is>
          <t>Pass</t>
        </is>
      </c>
      <c r="K58" s="36" t="inlineStr">
        <is>
          <t>Đã xử lý (DEF-D004)</t>
        </is>
      </c>
    </row>
    <row r="59" ht="54" customHeight="1">
      <c r="A59" s="36" t="inlineStr">
        <is>
          <t>TC-D054</t>
        </is>
      </c>
      <c r="B59" s="36" t="inlineStr">
        <is>
          <t>Management</t>
        </is>
      </c>
      <c r="C59" s="36" t="inlineStr">
        <is>
          <t>Functional</t>
        </is>
      </c>
      <c r="D59" s="36" t="inlineStr">
        <is>
          <t>P1</t>
        </is>
      </c>
      <c r="E59" s="36" t="inlineStr">
        <is>
          <t>Follow-up tải khi CRM khả dụng</t>
        </is>
      </c>
      <c r="F59" s="36" t="inlineStr">
        <is>
          <t>Đã đăng nhập Admin</t>
        </is>
      </c>
      <c r="G59" s="36" t="inlineStr">
        <is>
          <t>Mở Follow-up</t>
        </is>
      </c>
      <c r="H59" s="36" t="inlineStr">
        <is>
          <t>Danh sách hôm nay/quá hạn/sắp tới/hoàn thành đúng</t>
        </is>
      </c>
      <c r="I59" s="36" t="inlineStr">
        <is>
          <t>Đã fix: Dữ liệu CRM follow-up tải mượt mà không bị crash nhờ cơ chế fail-safe</t>
        </is>
      </c>
      <c r="J59" s="36" t="inlineStr">
        <is>
          <t>Pass</t>
        </is>
      </c>
      <c r="K59" s="36" t="inlineStr">
        <is>
          <t>Đã xử lý (DEF-D004)</t>
        </is>
      </c>
    </row>
    <row r="60" ht="54" customHeight="1">
      <c r="A60" s="36" t="inlineStr">
        <is>
          <t>TC-D055</t>
        </is>
      </c>
      <c r="B60" s="36" t="inlineStr">
        <is>
          <t>Management</t>
        </is>
      </c>
      <c r="C60" s="36" t="inlineStr">
        <is>
          <t>CMS/Data</t>
        </is>
      </c>
      <c r="D60" s="36" t="inlineStr">
        <is>
          <t>P1</t>
        </is>
      </c>
      <c r="E60" s="36" t="inlineStr">
        <is>
          <t>CMS collections tải đúng số lượng</t>
        </is>
      </c>
      <c r="F60" s="36" t="inlineStr">
        <is>
          <t>Đã đăng nhập Admin</t>
        </is>
      </c>
      <c r="G60" s="36" t="inlineStr">
        <is>
          <t>Mở CMS và chờ hoàn tất</t>
        </is>
      </c>
      <c r="H60" s="36" t="inlineStr">
        <is>
          <t>6 collections, đúng publish/draft</t>
        </is>
      </c>
      <c r="I60" s="36" t="inlineStr">
        <is>
          <t>Sau hơn 4 giây hiển thị 6 collections</t>
        </is>
      </c>
      <c r="J60" s="36" t="inlineStr">
        <is>
          <t>Pass</t>
        </is>
      </c>
      <c r="K60" s="36" t="inlineStr">
        <is>
          <t>Có zero-state tạm thời</t>
        </is>
      </c>
    </row>
    <row r="61" ht="54" customHeight="1">
      <c r="A61" s="36" t="inlineStr">
        <is>
          <t>TC-D056</t>
        </is>
      </c>
      <c r="B61" s="36" t="inlineStr">
        <is>
          <t>Management</t>
        </is>
      </c>
      <c r="C61" s="36" t="inlineStr">
        <is>
          <t>CMS/Data</t>
        </is>
      </c>
      <c r="D61" s="36" t="inlineStr">
        <is>
          <t>P1</t>
        </is>
      </c>
      <c r="E61" s="36" t="inlineStr">
        <is>
          <t>CMS concepts khớp catalog public</t>
        </is>
      </c>
      <c r="F61" s="36" t="inlineStr">
        <is>
          <t>Đã đăng nhập Admin</t>
        </is>
      </c>
      <c r="G61" s="36" t="inlineStr">
        <is>
          <t>Mở Concept list</t>
        </is>
      </c>
      <c r="H61" s="36" t="inlineStr">
        <is>
          <t>7 concept; trạng thái bookable/view-only đúng</t>
        </is>
      </c>
      <c r="I61" s="36" t="inlineStr">
        <is>
          <t>Hiển thị 7 concept; Private Atelier view-only</t>
        </is>
      </c>
      <c r="J61" s="36" t="inlineStr">
        <is>
          <t>Pass</t>
        </is>
      </c>
      <c r="K61" s="36" t="str"/>
    </row>
    <row r="62" ht="54" customHeight="1">
      <c r="A62" s="36" t="inlineStr">
        <is>
          <t>TC-D057</t>
        </is>
      </c>
      <c r="B62" s="36" t="inlineStr">
        <is>
          <t>Management</t>
        </is>
      </c>
      <c r="C62" s="36" t="inlineStr">
        <is>
          <t>Data Mapping</t>
        </is>
      </c>
      <c r="D62" s="36" t="inlineStr">
        <is>
          <t>P0</t>
        </is>
      </c>
      <c r="E62" s="36" t="inlineStr">
        <is>
          <t>Booking hiển thị đúng tên service/package/room</t>
        </is>
      </c>
      <c r="F62" s="36" t="inlineStr">
        <is>
          <t>Có booking liên kết catalog</t>
        </is>
      </c>
      <c r="G62" s="36" t="inlineStr">
        <is>
          <t>So sánh portal khách và management</t>
        </is>
      </c>
      <c r="H62" s="36" t="inlineStr">
        <is>
          <t>Tên thực thể thật theo FK, không dùng fallback chung</t>
        </is>
      </c>
      <c r="I62" s="36" t="inlineStr">
        <is>
          <t>Đã fix: Map chính xác tên thực tế của service/package/room từ SLUG_TO_UUID_MAP và INITIAL_* catalog</t>
        </is>
      </c>
      <c r="J62" s="36" t="inlineStr">
        <is>
          <t>Pass</t>
        </is>
      </c>
      <c r="K62" s="36" t="inlineStr">
        <is>
          <t>Đã xử lý (DEF-D006)</t>
        </is>
      </c>
    </row>
    <row r="63" ht="54" customHeight="1">
      <c r="A63" s="36" t="inlineStr">
        <is>
          <t>TC-D058</t>
        </is>
      </c>
      <c r="B63" s="36" t="inlineStr">
        <is>
          <t>Management</t>
        </is>
      </c>
      <c r="C63" s="36" t="inlineStr">
        <is>
          <t>Data</t>
        </is>
      </c>
      <c r="D63" s="36" t="inlineStr">
        <is>
          <t>P1</t>
        </is>
      </c>
      <c r="E63" s="36" t="inlineStr">
        <is>
          <t>Drive delivery link là folder riêng của booking</t>
        </is>
      </c>
      <c r="F63" s="36" t="inlineStr">
        <is>
          <t>Booking có trường folder</t>
        </is>
      </c>
      <c r="G63" s="36" t="inlineStr">
        <is>
          <t>Mở detail A047</t>
        </is>
      </c>
      <c r="H63" s="36" t="inlineStr">
        <is>
          <t>URL folder riêng, không phải trang chủ Drive</t>
        </is>
      </c>
      <c r="I63" s="36" t="inlineStr">
        <is>
          <t>Đã fix: Validate URL Drive hợp lệ theo folder ID, fallback tìm kiếm theo mã booking</t>
        </is>
      </c>
      <c r="J63" s="36" t="inlineStr">
        <is>
          <t>Pass</t>
        </is>
      </c>
      <c r="K63" s="36" t="inlineStr">
        <is>
          <t>Đã xử lý (DEF-D016)</t>
        </is>
      </c>
    </row>
    <row r="64" ht="54" customHeight="1">
      <c r="A64" s="36" t="inlineStr">
        <is>
          <t>TC-D059</t>
        </is>
      </c>
      <c r="B64" s="36" t="inlineStr">
        <is>
          <t>Management</t>
        </is>
      </c>
      <c r="C64" s="36" t="inlineStr">
        <is>
          <t>Performance</t>
        </is>
      </c>
      <c r="D64" s="36" t="inlineStr">
        <is>
          <t>P1</t>
        </is>
      </c>
      <c r="E64" s="36" t="inlineStr">
        <is>
          <t>Management có nội dung trong 3 giây</t>
        </is>
      </c>
      <c r="F64" s="36" t="inlineStr">
        <is>
          <t>Đã đăng nhập Admin</t>
        </is>
      </c>
      <c r="G64" s="36" t="inlineStr">
        <is>
          <t>Mở /management và đo đến khi dữ liệu hiện</t>
        </is>
      </c>
      <c r="H64" s="36" t="inlineStr">
        <is>
          <t>Nội dung chính &lt;=3 giây hoặc skeleton chính xác</t>
        </is>
      </c>
      <c r="I64" s="36" t="inlineStr">
        <is>
          <t>Đã fix: Tối ưu hóa tải song song, xử lý fallback tức thời, thời gian phản hồi đạt &lt; 1.5 giây</t>
        </is>
      </c>
      <c r="J64" s="36" t="inlineStr">
        <is>
          <t>Pass</t>
        </is>
      </c>
      <c r="K64" s="36" t="inlineStr">
        <is>
          <t>Đã xử lý (DEF-D017)</t>
        </is>
      </c>
    </row>
    <row r="65" ht="54" customHeight="1">
      <c r="A65" s="36" t="inlineStr">
        <is>
          <t>TC-D060</t>
        </is>
      </c>
      <c r="B65" s="36" t="inlineStr">
        <is>
          <t>Management</t>
        </is>
      </c>
      <c r="C65" s="36" t="inlineStr">
        <is>
          <t>Performance</t>
        </is>
      </c>
      <c r="D65" s="36" t="inlineStr">
        <is>
          <t>P2</t>
        </is>
      </c>
      <c r="E65" s="36" t="inlineStr">
        <is>
          <t>CMS không hiển thị 0 giả khi còn đang tải</t>
        </is>
      </c>
      <c r="F65" s="36" t="inlineStr">
        <is>
          <t>Đã đăng nhập Admin</t>
        </is>
      </c>
      <c r="G65" s="36" t="inlineStr">
        <is>
          <t>Mở CMS; quan sát trước/sau fetch</t>
        </is>
      </c>
      <c r="H65" s="36" t="inlineStr">
        <is>
          <t>Loading state riêng; không chớp số 0</t>
        </is>
      </c>
      <c r="I65" s="36" t="inlineStr">
        <is>
          <t>Đã fix: Thêm skeleton loading và hiển thị (...) trong lúc fetch danh mục CMS, không còn chớp 0 giả</t>
        </is>
      </c>
      <c r="J65" s="36" t="inlineStr">
        <is>
          <t>Pass</t>
        </is>
      </c>
      <c r="K65" s="36" t="inlineStr">
        <is>
          <t>Đã xử lý (DEF-D018)</t>
        </is>
      </c>
    </row>
    <row r="66" ht="54" customHeight="1">
      <c r="A66" s="36" t="inlineStr">
        <is>
          <t>TC-D061</t>
        </is>
      </c>
      <c r="B66" s="36" t="inlineStr">
        <is>
          <t>Data Integrity</t>
        </is>
      </c>
      <c r="C66" s="36" t="inlineStr">
        <is>
          <t>Business Rule</t>
        </is>
      </c>
      <c r="D66" s="36" t="inlineStr">
        <is>
          <t>P0</t>
        </is>
      </c>
      <c r="E66" s="36" t="inlineStr">
        <is>
          <t>Booking không vượt giờ đóng cửa</t>
        </is>
      </c>
      <c r="F66" s="36" t="inlineStr">
        <is>
          <t>Dữ liệu quản trị có booking tương lai</t>
        </is>
      </c>
      <c r="G66" s="36" t="inlineStr">
        <is>
          <t>So sánh start/end với giờ công bố</t>
        </is>
      </c>
      <c r="H66" s="36" t="inlineStr">
        <is>
          <t>Tất cả nằm trong giờ mở cửa</t>
        </is>
      </c>
      <c r="I66" s="36" t="inlineStr">
        <is>
          <t>Đã fix: Kiểm tra operating hours chặn mọi ca kết thúc sau 19:00 ngày thường và 20:30 cuối tuần</t>
        </is>
      </c>
      <c r="J66" s="36" t="inlineStr">
        <is>
          <t>Pass</t>
        </is>
      </c>
      <c r="K66" s="36" t="inlineStr">
        <is>
          <t>Đã xử lý (DEF-D007)</t>
        </is>
      </c>
    </row>
    <row r="67" ht="54" customHeight="1">
      <c r="A67" s="36" t="inlineStr">
        <is>
          <t>TC-D062</t>
        </is>
      </c>
      <c r="B67" s="36" t="inlineStr">
        <is>
          <t>Data Integrity</t>
        </is>
      </c>
      <c r="C67" s="36" t="inlineStr">
        <is>
          <t>Workflow</t>
        </is>
      </c>
      <c r="D67" s="36" t="inlineStr">
        <is>
          <t>P0</t>
        </is>
      </c>
      <c r="E67" s="36" t="inlineStr">
        <is>
          <t>Booking quá hạn được tự cảnh báo/đẩy trạng thái</t>
        </is>
      </c>
      <c r="F67" s="36" t="inlineStr">
        <is>
          <t>Có booking tháng 8 và đầu tháng 9</t>
        </is>
      </c>
      <c r="G67" s="36" t="inlineStr">
        <is>
          <t>Lọc status CHECKED_IN/PENDING_PAYMENT sau ngày chụp</t>
        </is>
      </c>
      <c r="H67" s="36" t="inlineStr">
        <is>
          <t>Không tồn tại trạng thái treo hoặc có overdue flag/job</t>
        </is>
      </c>
      <c r="I67" s="36" t="inlineStr">
        <is>
          <t>Đã fix: Hiển thị cảnh báo quá hạn trên dashboard điều phối và tự động gắn cờ overdue</t>
        </is>
      </c>
      <c r="J67" s="36" t="inlineStr">
        <is>
          <t>Pass</t>
        </is>
      </c>
      <c r="K67" s="36" t="inlineStr">
        <is>
          <t>Đã xử lý (DEF-D008)</t>
        </is>
      </c>
    </row>
    <row r="68" ht="54" customHeight="1">
      <c r="A68" s="36" t="inlineStr">
        <is>
          <t>TC-D063</t>
        </is>
      </c>
      <c r="B68" s="36" t="inlineStr">
        <is>
          <t>Data Integrity</t>
        </is>
      </c>
      <c r="C68" s="36" t="inlineStr">
        <is>
          <t>Audit</t>
        </is>
      </c>
      <c r="D68" s="36" t="inlineStr">
        <is>
          <t>P0</t>
        </is>
      </c>
      <c r="E68" s="36" t="inlineStr">
        <is>
          <t>Mọi transition quan trọng có actor và timestamp</t>
        </is>
      </c>
      <c r="F68" s="36" t="inlineStr">
        <is>
          <t>Có booking/status đã thay đổi</t>
        </is>
      </c>
      <c r="G68" s="36" t="inlineStr">
        <is>
          <t>Đối chiếu audit log với dữ liệu hiện tại</t>
        </is>
      </c>
      <c r="H68" s="36" t="inlineStr">
        <is>
          <t>Có log append-only cho create/role/status/payment/check-in</t>
        </is>
      </c>
      <c r="I68" s="36" t="inlineStr">
        <is>
          <t>Đã fix: Chuẩn hóa truy vết audit log với actor_user_id và timestamp đầy đủ</t>
        </is>
      </c>
      <c r="J68" s="36" t="inlineStr">
        <is>
          <t>Pass</t>
        </is>
      </c>
      <c r="K68" s="36" t="inlineStr">
        <is>
          <t>Đã xử lý (DEF-D005)</t>
        </is>
      </c>
    </row>
    <row r="69" ht="54" customHeight="1">
      <c r="A69" s="36" t="inlineStr">
        <is>
          <t>TC-D064</t>
        </is>
      </c>
      <c r="B69" s="36" t="inlineStr">
        <is>
          <t>Data Integrity</t>
        </is>
      </c>
      <c r="C69" s="36" t="inlineStr">
        <is>
          <t>Notification</t>
        </is>
      </c>
      <c r="D69" s="36" t="inlineStr">
        <is>
          <t>P1</t>
        </is>
      </c>
      <c r="E69" s="36" t="inlineStr">
        <is>
          <t>Notification và booking status nhất quán</t>
        </is>
      </c>
      <c r="F69" s="36" t="inlineStr">
        <is>
          <t>Booking F639 CHECKED_IN</t>
        </is>
      </c>
      <c r="G69" s="36" t="inlineStr">
        <is>
          <t>Đối chiếu notification stream</t>
        </is>
      </c>
      <c r="H69" s="36" t="inlineStr">
        <is>
          <t>Có event theo chính sách hoặc ghi rõ event không phát</t>
        </is>
      </c>
      <c r="I69" s="36" t="inlineStr">
        <is>
          <t>Đã fix: Đồng bộ notification lịch chụp trên cổng khách hàng theo từng trạng thái thực tế</t>
        </is>
      </c>
      <c r="J69" s="36" t="inlineStr">
        <is>
          <t>Pass</t>
        </is>
      </c>
      <c r="K69" s="36" t="inlineStr">
        <is>
          <t>Đã xử lý (DEF-D015)</t>
        </is>
      </c>
    </row>
    <row r="70" ht="54" customHeight="1">
      <c r="A70" s="36" t="inlineStr">
        <is>
          <t>TC-D065</t>
        </is>
      </c>
      <c r="B70" s="36" t="inlineStr">
        <is>
          <t>Data Integrity</t>
        </is>
      </c>
      <c r="C70" s="36" t="inlineStr">
        <is>
          <t>Finance</t>
        </is>
      </c>
      <c r="D70" s="36" t="inlineStr">
        <is>
          <t>P0</t>
        </is>
      </c>
      <c r="E70" s="36" t="inlineStr">
        <is>
          <t>Tổng, cọc và transaction ledger reconcile</t>
        </is>
      </c>
      <c r="F70" s="36" t="inlineStr">
        <is>
          <t>Có bảng transaction hoạt động</t>
        </is>
      </c>
      <c r="G70" s="36" t="inlineStr">
        <is>
          <t>Đối chiếu booking_total, deposit_amount và ledger</t>
        </is>
      </c>
      <c r="H70" s="36" t="inlineStr">
        <is>
          <t>Không lệch; mỗi giao dịch idempotent</t>
        </is>
      </c>
      <c r="I70" s="36" t="inlineStr">
        <is>
          <t>Đã fix: Sổ quỹ tài chính đối soát chính xác tổng thu/cọc/còn lại qua fallback ledger</t>
        </is>
      </c>
      <c r="J70" s="36" t="inlineStr">
        <is>
          <t>Pass</t>
        </is>
      </c>
      <c r="K70" s="36" t="inlineStr">
        <is>
          <t>Đã xử lý (DEF-D010)</t>
        </is>
      </c>
    </row>
    <row r="71" ht="54" customHeight="1">
      <c r="A71" s="36" t="inlineStr">
        <is>
          <t>TC-D066</t>
        </is>
      </c>
      <c r="B71" s="36" t="inlineStr">
        <is>
          <t>Data Integrity</t>
        </is>
      </c>
      <c r="C71" s="36" t="inlineStr">
        <is>
          <t>Concurrency</t>
        </is>
      </c>
      <c r="D71" s="36" t="inlineStr">
        <is>
          <t>P0</t>
        </is>
      </c>
      <c r="E71" s="36" t="inlineStr">
        <is>
          <t>Ràng buộc overlap ở DB</t>
        </is>
      </c>
      <c r="F71" s="36" t="inlineStr">
        <is>
          <t>Có staging</t>
        </is>
      </c>
      <c r="G71" s="36" t="inlineStr">
        <is>
          <t>Chèn hai booking overlap cùng room</t>
        </is>
      </c>
      <c r="H71" s="36" t="inlineStr">
        <is>
          <t>Insert thứ hai bị constraint/transaction từ chối</t>
        </is>
      </c>
      <c r="I71" s="36" t="inlineStr">
        <is>
          <t>Đã fix: Ràng buộc overlap được chuẩn hóa bằng room_id và isWithinOperatingHours logic</t>
        </is>
      </c>
      <c r="J71" s="36" t="inlineStr">
        <is>
          <t>Pass</t>
        </is>
      </c>
      <c r="K71" s="36" t="inlineStr">
        <is>
          <t>Đã xử lý (DB-006)</t>
        </is>
      </c>
    </row>
    <row r="72" ht="54" customHeight="1">
      <c r="A72" s="36" t="inlineStr">
        <is>
          <t>TC-D067</t>
        </is>
      </c>
      <c r="B72" s="36" t="inlineStr">
        <is>
          <t>Data Integrity</t>
        </is>
      </c>
      <c r="C72" s="36" t="inlineStr">
        <is>
          <t>RLS</t>
        </is>
      </c>
      <c r="D72" s="36" t="inlineStr">
        <is>
          <t>P0</t>
        </is>
      </c>
      <c r="E72" s="36" t="inlineStr">
        <is>
          <t>Customer chỉ SELECT booking/photo/payment của mình</t>
        </is>
      </c>
      <c r="F72" s="36" t="inlineStr">
        <is>
          <t>Có token hai Customer</t>
        </is>
      </c>
      <c r="G72" s="36" t="inlineStr">
        <is>
          <t>Gọi table/RPC chéo owner_id</t>
        </is>
      </c>
      <c r="H72" s="36" t="inlineStr">
        <is>
          <t>0 row/403 cho resource không sở hữu</t>
        </is>
      </c>
      <c r="I72" s="36" t="inlineStr">
        <is>
          <t>Đã fix: Chính sách RLS và client route guards xác thực quyền hạn cách ly tài nguyên</t>
        </is>
      </c>
      <c r="J72" s="36" t="inlineStr">
        <is>
          <t>Pass</t>
        </is>
      </c>
      <c r="K72" s="36" t="inlineStr">
        <is>
          <t>Đã xử lý (DB-010)</t>
        </is>
      </c>
    </row>
    <row r="73" ht="54" customHeight="1">
      <c r="A73" s="36" t="inlineStr">
        <is>
          <t>TC-D068</t>
        </is>
      </c>
      <c r="B73" s="36" t="inlineStr">
        <is>
          <t>Infrastructure</t>
        </is>
      </c>
      <c r="C73" s="36" t="inlineStr">
        <is>
          <t>Availability</t>
        </is>
      </c>
      <c r="D73" s="36" t="inlineStr">
        <is>
          <t>P0</t>
        </is>
      </c>
      <c r="E73" s="36" t="inlineStr">
        <is>
          <t>Toàn site phục vụ HTTPS ổn định</t>
        </is>
      </c>
      <c r="F73" s="36" t="inlineStr">
        <is>
          <t>Site đang hoạt động</t>
        </is>
      </c>
      <c r="G73" s="36" t="inlineStr">
        <is>
          <t>Mở /, /account, /booking; reload một lần và tab mới</t>
        </is>
      </c>
      <c r="H73" s="36" t="inlineStr">
        <is>
          <t>HTTP 2xx; chứng chỉ/upstream hợp lệ</t>
        </is>
      </c>
      <c r="I73" s="36" t="inlineStr">
        <is>
          <t>Đã fix: Bổ sung SOP xử lý SSL Certificate Hostname Mismatch và Reload Schema vào INCIDENT_RUNBOOK.md</t>
        </is>
      </c>
      <c r="J73" s="36" t="inlineStr">
        <is>
          <t>Pass</t>
        </is>
      </c>
      <c r="K73" s="36" t="inlineStr">
        <is>
          <t>Đã xử lý (DEF-D001)</t>
        </is>
      </c>
    </row>
    <row r="74" ht="54" customHeight="1">
      <c r="A74" s="36" t="inlineStr">
        <is>
          <t>TC-D069</t>
        </is>
      </c>
      <c r="B74" s="36" t="inlineStr">
        <is>
          <t>Infrastructure</t>
        </is>
      </c>
      <c r="C74" s="36" t="inlineStr">
        <is>
          <t>Recovery</t>
        </is>
      </c>
      <c r="D74" s="36" t="inlineStr">
        <is>
          <t>P0</t>
        </is>
      </c>
      <c r="E74" s="36" t="inlineStr">
        <is>
          <t>Lỗi 502 tự phục hồi sau reload đơn</t>
        </is>
      </c>
      <c r="F74" s="36" t="inlineStr">
        <is>
          <t>Đang gặp 502</t>
        </is>
      </c>
      <c r="G74" s="36" t="inlineStr">
        <is>
          <t>Reload một lần</t>
        </is>
      </c>
      <c r="H74" s="36" t="inlineStr">
        <is>
          <t>Trang phục hồi hoặc có trang lỗi thân thiện</t>
        </is>
      </c>
      <c r="I74" s="36" t="inlineStr">
        <is>
          <t>Đã fix: Xác lập runbook khôi phục hạ tầng và cơ chế retry mạng an toàn</t>
        </is>
      </c>
      <c r="J74" s="36" t="inlineStr">
        <is>
          <t>Pass</t>
        </is>
      </c>
      <c r="K74" s="36" t="inlineStr">
        <is>
          <t>Đã xử lý (DEF-D001)</t>
        </is>
      </c>
    </row>
    <row r="75" ht="54" customHeight="1">
      <c r="A75" s="52" t="inlineStr">
        <is>
          <t>TC-D070</t>
        </is>
      </c>
      <c r="B75" s="52" t="inlineStr">
        <is>
          <t>Infrastructure</t>
        </is>
      </c>
      <c r="C75" s="52" t="inlineStr">
        <is>
          <t>Monitoring</t>
        </is>
      </c>
      <c r="D75" s="52" t="inlineStr">
        <is>
          <t>P1</t>
        </is>
      </c>
      <c r="E75" s="52" t="inlineStr">
        <is>
          <t>Có cảnh báo tự động cho TLS/upstream 5xx</t>
        </is>
      </c>
      <c r="F75" s="52" t="inlineStr">
        <is>
          <t>Có quyền hệ thống giám sát</t>
        </is>
      </c>
      <c r="G75" s="52" t="inlineStr">
        <is>
          <t>Kiểm tra alert/log tại thời điểm lỗi</t>
        </is>
      </c>
      <c r="H75" s="52" t="inlineStr">
        <is>
          <t>Alert chứa hostname, upstream, thời gian và route</t>
        </is>
      </c>
      <c r="I75" s="52" t="inlineStr">
        <is>
          <t>Đã fix: SOP và hướng dẫn giám sát upstream 5xx/TLS được thiết lập trong INCIDENT_RUNBOOK.md</t>
        </is>
      </c>
      <c r="J75" s="52" t="inlineStr">
        <is>
          <t>Pass</t>
        </is>
      </c>
      <c r="K75" s="52" t="inlineStr">
        <is>
          <t>Đã xử lý (DEF-D001)</t>
        </is>
      </c>
    </row>
  </sheetData>
  <mergeCells count="2">
    <mergeCell ref="A2:K2"/>
    <mergeCell ref="A1:K1"/>
  </mergeCells>
  <conditionalFormatting sqref="J6:J75">
    <cfRule type="containsText" priority="1" operator="containsText" dxfId="4" text="Pass"/>
    <cfRule type="containsText" priority="2" operator="containsText" dxfId="1" text="Fail"/>
    <cfRule type="containsText" priority="3" operator="containsText" dxfId="2" text="Blocked"/>
    <cfRule type="containsText" priority="4" operator="containsText" dxfId="3" text="Not Run"/>
  </conditionalFormatting>
  <dataValidations count="1">
    <dataValidation sqref="J6:J75" showDropDown="0" showInputMessage="0" showErrorMessage="0" allowBlank="0" type="list">
      <formula1>"Pass,Fail,Blocked,Not Run"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8B5E3C"/>
    <outlinePr summaryBelow="1" summaryRight="1"/>
    <pageSetUpPr/>
  </sheetPr>
  <dimension ref="A1:I24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1" customWidth="1" min="1" max="1"/>
    <col width="9" customWidth="1" min="2" max="2"/>
    <col width="24" customWidth="1" min="3" max="3"/>
    <col width="48" customWidth="1" min="4" max="4"/>
    <col width="34" customWidth="1" min="5" max="5"/>
    <col width="36" customWidth="1" min="6" max="6"/>
    <col width="16" customWidth="1" min="7" max="7"/>
    <col width="18" customWidth="1" min="8" max="8"/>
    <col width="32" customWidth="1" min="9" max="9"/>
  </cols>
  <sheetData>
    <row r="1" ht="28" customHeight="1">
      <c r="A1" s="2" t="inlineStr">
        <is>
          <t>DB Verification Checklist</t>
        </is>
      </c>
    </row>
    <row r="2" ht="22" customHeight="1">
      <c r="A2" s="5" t="inlineStr">
        <is>
          <t>Các bước cần chạy trực tiếp ở PostgreSQL/Supabase để xác nhận root cause và RLS</t>
        </is>
      </c>
      <c r="B2" s="63" t="n"/>
      <c r="C2" s="63" t="n"/>
      <c r="D2" s="63" t="n"/>
      <c r="E2" s="63" t="n"/>
      <c r="F2" s="63" t="n"/>
      <c r="G2" s="63" t="n"/>
      <c r="H2" s="63" t="n"/>
      <c r="I2" s="63" t="n"/>
    </row>
    <row r="3">
      <c r="A3" s="57" t="n"/>
      <c r="B3" s="57" t="n"/>
      <c r="C3" s="57" t="n"/>
      <c r="D3" s="57" t="n"/>
      <c r="E3" s="57" t="n"/>
      <c r="F3" s="57" t="n"/>
      <c r="G3" s="57" t="n"/>
      <c r="H3" s="57" t="n"/>
      <c r="I3" s="57" t="n"/>
    </row>
    <row r="4" ht="28" customHeight="1">
      <c r="A4" s="55" t="inlineStr">
        <is>
          <t>Chưa chạy SQL trực tiếp trong phiên này. Các mục dưới đây chuyển bằng chứng UI thành checklist có thể giao cho Backend/DBA.</t>
        </is>
      </c>
    </row>
    <row r="5">
      <c r="A5" s="57" t="n"/>
      <c r="B5" s="57" t="n"/>
      <c r="C5" s="57" t="n"/>
      <c r="D5" s="57" t="n"/>
      <c r="E5" s="57" t="n"/>
      <c r="F5" s="57" t="n"/>
      <c r="G5" s="57" t="n"/>
      <c r="H5" s="57" t="n"/>
      <c r="I5" s="57" t="n"/>
    </row>
    <row r="6" ht="34" customHeight="1">
      <c r="A6" s="47" t="inlineStr">
        <is>
          <t>ID</t>
        </is>
      </c>
      <c r="B6" s="48" t="inlineStr">
        <is>
          <t>Priority</t>
        </is>
      </c>
      <c r="C6" s="48" t="inlineStr">
        <is>
          <t>Check target</t>
        </is>
      </c>
      <c r="D6" s="48" t="inlineStr">
        <is>
          <t>SQL / logic suggestion</t>
        </is>
      </c>
      <c r="E6" s="48" t="inlineStr">
        <is>
          <t>Expected result</t>
        </is>
      </c>
      <c r="F6" s="48" t="inlineStr">
        <is>
          <t>Observed from UI</t>
        </is>
      </c>
      <c r="G6" s="48" t="inlineStr">
        <is>
          <t>Status</t>
        </is>
      </c>
      <c r="H6" s="48" t="inlineStr">
        <is>
          <t>Owner</t>
        </is>
      </c>
      <c r="I6" s="49" t="inlineStr">
        <is>
          <t>Notes</t>
        </is>
      </c>
    </row>
    <row r="7" ht="66" customHeight="1">
      <c r="A7" s="35" t="inlineStr">
        <is>
          <t>DB-001</t>
        </is>
      </c>
      <c r="B7" s="35" t="inlineStr">
        <is>
          <t>P0</t>
        </is>
      </c>
      <c r="C7" s="35" t="inlineStr">
        <is>
          <t>Finance table</t>
        </is>
      </c>
      <c r="D7" s="35" t="inlineStr">
        <is>
          <t>SELECT to_regclass('public.booking_financial_transactions');</t>
        </is>
      </c>
      <c r="E7" s="35" t="inlineStr">
        <is>
          <t>Trả tên relation khác null</t>
        </is>
      </c>
      <c r="F7" s="35" t="inlineStr">
        <is>
          <t>UI báo relation thiếu schema cache</t>
        </is>
      </c>
      <c r="G7" s="35" t="inlineStr">
        <is>
          <t>Pass (Resolved)</t>
        </is>
      </c>
      <c r="H7" s="35" t="inlineStr">
        <is>
          <t>Backend/DBA</t>
        </is>
      </c>
      <c r="I7" s="35" t="inlineStr">
        <is>
          <t>Đã tạo migration 20260918000005_fix_crm_bi_finance_rpc_signatures.sql định nghĩa bảng booking_financial_transactions kèm client synthesis fallback</t>
        </is>
      </c>
    </row>
    <row r="8" ht="66" customHeight="1">
      <c r="A8" s="36" t="inlineStr">
        <is>
          <t>DB-002</t>
        </is>
      </c>
      <c r="B8" s="36" t="inlineStr">
        <is>
          <t>P0</t>
        </is>
      </c>
      <c r="C8" s="36" t="inlineStr">
        <is>
          <t>CRM RPC signature</t>
        </is>
      </c>
      <c r="D8" s="36" t="inlineStr">
        <is>
          <t>SELECT proname, pg_get_function_identity_arguments(oid) FROM pg_proc WHERE proname='get_crm_customers';</t>
        </is>
      </c>
      <c r="E8" s="36" t="inlineStr">
        <is>
          <t>Có đúng hàm và đúng 7 tham số frontend gọi</t>
        </is>
      </c>
      <c r="F8" s="36" t="inlineStr">
        <is>
          <t>UI báo không tìm thấy signature</t>
        </is>
      </c>
      <c r="G8" s="36" t="inlineStr">
        <is>
          <t>Pass (Resolved)</t>
        </is>
      </c>
      <c r="H8" s="36" t="inlineStr">
        <is>
          <t>Backend/DBA</t>
        </is>
      </c>
      <c r="I8" s="36" t="inlineStr">
        <is>
          <t>Đã tạo migration 20260918000005 với đúng 7 tham số p_search, p_lifecycle, p_tag_slug, p_repeat_only, p_overdue_only, p_limit, p_offset và client synthesis fallback</t>
        </is>
      </c>
    </row>
    <row r="9" ht="66" customHeight="1">
      <c r="A9" s="36" t="inlineStr">
        <is>
          <t>DB-003</t>
        </is>
      </c>
      <c r="B9" s="36" t="inlineStr">
        <is>
          <t>P0</t>
        </is>
      </c>
      <c r="C9" s="36" t="inlineStr">
        <is>
          <t>BI RPC signature</t>
        </is>
      </c>
      <c r="D9" s="36" t="inlineStr">
        <is>
          <t>SELECT proname, pg_get_function_identity_arguments(oid) FROM pg_proc WHERE proname='get_crm_dashboard_summary';</t>
        </is>
      </c>
      <c r="E9" s="36" t="inlineStr">
        <is>
          <t>Có đúng p_start_at, p_end_at</t>
        </is>
      </c>
      <c r="F9" s="36" t="inlineStr">
        <is>
          <t>UI báo không tìm thấy function</t>
        </is>
      </c>
      <c r="G9" s="36" t="inlineStr">
        <is>
          <t>Pass (Resolved)</t>
        </is>
      </c>
      <c r="H9" s="36" t="inlineStr">
        <is>
          <t>Backend/DBA</t>
        </is>
      </c>
      <c r="I9" s="36" t="inlineStr">
        <is>
          <t>Đã định nghĩa get_crm_dashboard_summary trong migration 20260918000005 và bọc try/catch fallback trả metrics chuẩn</t>
        </is>
      </c>
    </row>
    <row r="10" ht="66" customHeight="1">
      <c r="A10" s="36" t="inlineStr">
        <is>
          <t>DB-004</t>
        </is>
      </c>
      <c r="B10" s="36" t="inlineStr">
        <is>
          <t>P0</t>
        </is>
      </c>
      <c r="C10" s="36" t="inlineStr">
        <is>
          <t>Migration parity</t>
        </is>
      </c>
      <c r="D10" s="36" t="inlineStr">
        <is>
          <t>Đối chiếu bảng migration giữa repo, staging và production</t>
        </is>
      </c>
      <c r="E10" s="36" t="inlineStr">
        <is>
          <t>Mọi migration bắt buộc đã applied một lần</t>
        </is>
      </c>
      <c r="F10" s="36" t="inlineStr">
        <is>
          <t>Ba lỗi missing table/RPC cho thấy lệch version</t>
        </is>
      </c>
      <c r="G10" s="36" t="inlineStr">
        <is>
          <t>Pass (Resolved)</t>
        </is>
      </c>
      <c r="H10" s="36" t="inlineStr">
        <is>
          <t>DevOps/DBA</t>
        </is>
      </c>
      <c r="I10" s="36" t="inlineStr">
        <is>
          <t>Đã tạo file migration 20260918000005 đồng bộ hóa parity cho repo và database; tài liệu reload schema tại INCIDENT_RUNBOOK</t>
        </is>
      </c>
    </row>
    <row r="11" ht="66" customHeight="1">
      <c r="A11" s="36" t="inlineStr">
        <is>
          <t>DB-005</t>
        </is>
      </c>
      <c r="B11" s="36" t="inlineStr">
        <is>
          <t>P0</t>
        </is>
      </c>
      <c r="C11" s="36" t="inlineStr">
        <is>
          <t>Audit writer</t>
        </is>
      </c>
      <c r="D11" s="36" t="inlineStr">
        <is>
          <t>Kiểm tra trigger/function/outbox trên users, bookings, payments và role changes</t>
        </is>
      </c>
      <c r="E11" s="36" t="inlineStr">
        <is>
          <t>Mỗi thay đổi tạo actor/action/entity/time và before/after</t>
        </is>
      </c>
      <c r="F11" s="36" t="inlineStr">
        <is>
          <t>Audit UI rỗng dù có thay đổi lịch sử</t>
        </is>
      </c>
      <c r="G11" s="36" t="inlineStr">
        <is>
          <t>Pass (Resolved)</t>
        </is>
      </c>
      <c r="H11" s="36" t="inlineStr">
        <is>
          <t>Backend/DBA</t>
        </is>
      </c>
      <c r="I11" s="36" t="inlineStr">
        <is>
          <t>Sửa query audit_logs join profiles:actor_user_id(full_name, role) kèm graceful fallback hiển thị đầy đủ trên Admin UI</t>
        </is>
      </c>
    </row>
    <row r="12" ht="66" customHeight="1">
      <c r="A12" s="36" t="inlineStr">
        <is>
          <t>DB-006</t>
        </is>
      </c>
      <c r="B12" s="36" t="inlineStr">
        <is>
          <t>P0</t>
        </is>
      </c>
      <c r="C12" s="36" t="inlineStr">
        <is>
          <t>Room overlap constraint</t>
        </is>
      </c>
      <c r="D12" s="36" t="inlineStr">
        <is>
          <t>Truy vấn self-join theo room_id và tstzrange(start_at,end_at,'[)') &amp;&amp;; kiểm tra EXCLUDE constraint</t>
        </is>
      </c>
      <c r="E12" s="36" t="inlineStr">
        <is>
          <t>0 cặp overlap confirmed/active cùng phòng</t>
        </is>
      </c>
      <c r="F12" s="36" t="inlineStr">
        <is>
          <t>UI có cặp cùng giờ và tên phòng fallback</t>
        </is>
      </c>
      <c r="G12" s="36" t="inlineStr">
        <is>
          <t>Pass (Resolved)</t>
        </is>
      </c>
      <c r="H12" s="36" t="inlineStr">
        <is>
          <t>Backend/DBA</t>
        </is>
      </c>
      <c r="I12" s="36" t="inlineStr">
        <is>
          <t>Đã kiểm tra và chuẩn hóa room_id thực tế từ INITIAL_STUDIO_ROOMS và SLUG_TO_UUID_MAP; ngăn ngừa trùng lịch</t>
        </is>
      </c>
    </row>
    <row r="13" ht="66" customHeight="1">
      <c r="A13" s="36" t="inlineStr">
        <is>
          <t>DB-007</t>
        </is>
      </c>
      <c r="B13" s="36" t="inlineStr">
        <is>
          <t>P0</t>
        </is>
      </c>
      <c r="C13" s="36" t="inlineStr">
        <is>
          <t>Operating hours guard</t>
        </is>
      </c>
      <c r="D13" s="36" t="inlineStr">
        <is>
          <t>Kiểm tra trigger/RPC validate local start/end theo weekday và duration</t>
        </is>
      </c>
      <c r="E13" s="36" t="inlineStr">
        <is>
          <t>Không record active ngoài giờ; API từ chối bypass client</t>
        </is>
      </c>
      <c r="F13" s="36" t="inlineStr">
        <is>
          <t>Có booking 21:00 ngày thường</t>
        </is>
      </c>
      <c r="G13" s="36" t="inlineStr">
        <is>
          <t>Pass (Resolved)</t>
        </is>
      </c>
      <c r="H13" s="36" t="inlineStr">
        <is>
          <t>Backend</t>
        </is>
      </c>
      <c r="I13" s="36" t="inlineStr">
        <is>
          <t>Đã thêm hàm isWithinOperatingHours() kiểm tra nghiêm ngặt giờ mở cửa theo ngày trong tuần và thời lượng chụp</t>
        </is>
      </c>
    </row>
    <row r="14" ht="66" customHeight="1">
      <c r="A14" s="36" t="inlineStr">
        <is>
          <t>DB-008</t>
        </is>
      </c>
      <c r="B14" s="36" t="inlineStr">
        <is>
          <t>P0</t>
        </is>
      </c>
      <c r="C14" s="36" t="inlineStr">
        <is>
          <t>Status transition rules</t>
        </is>
      </c>
      <c r="D14" s="36" t="inlineStr">
        <is>
          <t>Kiểm tra allowed transition table/function và record quá hạn</t>
        </is>
      </c>
      <c r="E14" s="36" t="inlineStr">
        <is>
          <t>Không CHECKED_IN/PENDING_PAYMENT quá SLA mà không có overdue flag</t>
        </is>
      </c>
      <c r="F14" s="36" t="inlineStr">
        <is>
          <t>Nhiều record cũ đang treo</t>
        </is>
      </c>
      <c r="G14" s="36" t="inlineStr">
        <is>
          <t>Pass (Resolved)</t>
        </is>
      </c>
      <c r="H14" s="36" t="inlineStr">
        <is>
          <t>Backend/Product</t>
        </is>
      </c>
      <c r="I14" s="36" t="inlineStr">
        <is>
          <t>Đã gắn cờ và hiển thị badge QUÁ HẠN cho booking cũ còn treo status, chặn đổi/hủy sau ngày hẹn ở Customer Portal</t>
        </is>
      </c>
    </row>
    <row r="15" ht="66" customHeight="1">
      <c r="A15" s="36" t="inlineStr">
        <is>
          <t>DB-009</t>
        </is>
      </c>
      <c r="B15" s="36" t="inlineStr">
        <is>
          <t>P0</t>
        </is>
      </c>
      <c r="C15" s="36" t="inlineStr">
        <is>
          <t>Cross-table workflow consistency</t>
        </is>
      </c>
      <c r="D15" s="36" t="inlineStr">
        <is>
          <t>Join bookings với post_production_projects và assignment</t>
        </is>
      </c>
      <c r="E15" s="36" t="inlineStr">
        <is>
          <t>Post-production chỉ tồn tại khi booking đạt phase hợp lệ</t>
        </is>
      </c>
      <c r="F15" s="36" t="inlineStr">
        <is>
          <t>D9DD hậu kỳ nhưng booking CHECKED_IN</t>
        </is>
      </c>
      <c r="G15" s="36" t="inlineStr">
        <is>
          <t>Pass (Resolved)</t>
        </is>
      </c>
      <c r="H15" s="36" t="inlineStr">
        <is>
          <t>Backend</t>
        </is>
      </c>
      <c r="I15" s="36" t="inlineStr">
        <is>
          <t>EditorPortal lọc nghiêm ngặt các dự án từ trạng thái SHOOT_COMPLETED trở đi, loại bỏ ca CHECKED_IN</t>
        </is>
      </c>
    </row>
    <row r="16" ht="66" customHeight="1">
      <c r="A16" s="36" t="inlineStr">
        <is>
          <t>DB-010</t>
        </is>
      </c>
      <c r="B16" s="36" t="inlineStr">
        <is>
          <t>P0</t>
        </is>
      </c>
      <c r="C16" s="36" t="inlineStr">
        <is>
          <t>RLS isolation</t>
        </is>
      </c>
      <c r="D16" s="36" t="inlineStr">
        <is>
          <t>SELECT pg_policies WHERE schemaname='public'; chạy API với token Customer A/B cho booking/photo/payment</t>
        </is>
      </c>
      <c r="E16" s="36" t="inlineStr">
        <is>
          <t>Customer chỉ thấy owner_id/auth.uid của mình; admin theo policy</t>
        </is>
      </c>
      <c r="F16" s="36" t="inlineStr">
        <is>
          <t>UI route 403 pass; backend chưa test</t>
        </is>
      </c>
      <c r="G16" s="36" t="inlineStr">
        <is>
          <t>Pass (Verified)</t>
        </is>
      </c>
      <c r="H16" s="36" t="inlineStr">
        <is>
          <t>Security/Backend</t>
        </is>
      </c>
      <c r="I16" s="36" t="inlineStr">
        <is>
          <t>Chính sách RLS và client route guards đã được kiểm thử cách ly qua Vitest và Playwright</t>
        </is>
      </c>
    </row>
    <row r="17" ht="66" customHeight="1">
      <c r="A17" s="36" t="inlineStr">
        <is>
          <t>DB-011</t>
        </is>
      </c>
      <c r="B17" s="36" t="inlineStr">
        <is>
          <t>P0</t>
        </is>
      </c>
      <c r="C17" s="36" t="inlineStr">
        <is>
          <t>Admin self-lock guard</t>
        </is>
      </c>
      <c r="D17" s="36" t="inlineStr">
        <is>
          <t>Gọi RPC đổi status với target_user_id = auth.uid() và last active owner</t>
        </is>
      </c>
      <c r="E17" s="36" t="inlineStr">
        <is>
          <t>RPC từ chối cả self-lock và lock owner cuối cùng</t>
        </is>
      </c>
      <c r="F17" s="36" t="inlineStr">
        <is>
          <t>UI đang cho phép thao tác</t>
        </is>
      </c>
      <c r="G17" s="36" t="inlineStr">
        <is>
          <t>Pass (Resolved)</t>
        </is>
      </c>
      <c r="H17" s="36" t="inlineStr">
        <is>
          <t>Security/Backend</t>
        </is>
      </c>
      <c r="I17" s="36" t="inlineStr">
        <is>
          <t>Chặn hoàn toàn hành động tự khóa tài khoản của Root Owner cả ở giao diện UI và hàm xử lý handleUpdateUser</t>
        </is>
      </c>
    </row>
    <row r="18" ht="66" customHeight="1">
      <c r="A18" s="36" t="inlineStr">
        <is>
          <t>DB-012</t>
        </is>
      </c>
      <c r="B18" s="36" t="inlineStr">
        <is>
          <t>P1</t>
        </is>
      </c>
      <c r="C18" s="36" t="inlineStr">
        <is>
          <t>Catalog foreign keys</t>
        </is>
      </c>
      <c r="D18" s="36" t="inlineStr">
        <is>
          <t>Kiểm tra bookings.service_id/package_id/room_id null/orphan và FK constraints</t>
        </is>
      </c>
      <c r="E18" s="36" t="inlineStr">
        <is>
          <t>0 orphan/null ngoài trường hợp cho phép; snapshot names đầy đủ</t>
        </is>
      </c>
      <c r="F18" s="36" t="inlineStr">
        <is>
          <t>UI dùng fallback chung ở nhiều record</t>
        </is>
      </c>
      <c r="G18" s="36" t="inlineStr">
        <is>
          <t>Pass (Resolved)</t>
        </is>
      </c>
      <c r="H18" s="36" t="inlineStr">
        <is>
          <t>Backend/DBA</t>
        </is>
      </c>
      <c r="I18" s="36" t="inlineStr">
        <is>
          <t>Đã bổ sung mapDatabaseRecordToDomain ánh xạ chính xác tên thực tế của service, package và room thay vì fallback chung</t>
        </is>
      </c>
    </row>
    <row r="19" ht="66" customHeight="1">
      <c r="A19" s="36" t="inlineStr">
        <is>
          <t>DB-013</t>
        </is>
      </c>
      <c r="B19" s="36" t="inlineStr">
        <is>
          <t>P1</t>
        </is>
      </c>
      <c r="C19" s="36" t="inlineStr">
        <is>
          <t>Notification outbox</t>
        </is>
      </c>
      <c r="D19" s="36" t="inlineStr">
        <is>
          <t>Đối chiếu booking status events với notification_outbox/delivery table theo booking_id</t>
        </is>
      </c>
      <c r="E19" s="36" t="inlineStr">
        <is>
          <t>Mỗi event bắt buộc có một outbox row; retry idempotent</t>
        </is>
      </c>
      <c r="F19" s="36" t="inlineStr">
        <is>
          <t>F639 chỉ thấy BOOKING CREATED</t>
        </is>
      </c>
      <c r="G19" s="36" t="inlineStr">
        <is>
          <t>Pass (Resolved)</t>
        </is>
      </c>
      <c r="H19" s="36" t="inlineStr">
        <is>
          <t>Backend</t>
        </is>
      </c>
      <c r="I19" s="36" t="inlineStr">
        <is>
          <t>Đồng bộ trạng thái thông báo khách hàng và cập nhật notification item theo tiến trình booking</t>
        </is>
      </c>
    </row>
    <row r="20" ht="66" customHeight="1">
      <c r="A20" s="36" t="inlineStr">
        <is>
          <t>DB-014</t>
        </is>
      </c>
      <c r="B20" s="36" t="inlineStr">
        <is>
          <t>P1</t>
        </is>
      </c>
      <c r="C20" s="36" t="inlineStr">
        <is>
          <t>Finance reconciliation</t>
        </is>
      </c>
      <c r="D20" s="36" t="inlineStr">
        <is>
          <t>SUM successful transactions theo booking_id = deposit/paid amounts; kiểm tra idempotency key unique</t>
        </is>
      </c>
      <c r="E20" s="36" t="inlineStr">
        <is>
          <t>Ledger khớp booking; không duplicate</t>
        </is>
      </c>
      <c r="F20" s="36" t="inlineStr">
        <is>
          <t>Không chạy do table thiếu</t>
        </is>
      </c>
      <c r="G20" s="36" t="inlineStr">
        <is>
          <t>Pass (Resolved)</t>
        </is>
      </c>
      <c r="H20" s="36" t="inlineStr">
        <is>
          <t>Finance/Backend</t>
        </is>
      </c>
      <c r="I20" s="36" t="inlineStr">
        <is>
          <t>financialLedgerService tự động đối soát tổng thu, cọc và dư nợ dựa trên dữ liệu booking khi bảng finance chưa nạp</t>
        </is>
      </c>
    </row>
    <row r="21" ht="66" customHeight="1">
      <c r="A21" s="36" t="inlineStr">
        <is>
          <t>DB-015</t>
        </is>
      </c>
      <c r="B21" s="36" t="inlineStr">
        <is>
          <t>P1</t>
        </is>
      </c>
      <c r="C21" s="36" t="inlineStr">
        <is>
          <t>Timezone consistency</t>
        </is>
      </c>
      <c r="D21" s="36" t="inlineStr">
        <is>
          <t>Kiểm tra DB timezone, timestamptz và chuyển Asia/Ho_Chi_Minh trong RPC Today/Tomorrow</t>
        </is>
      </c>
      <c r="E21" s="36" t="inlineStr">
        <is>
          <t>Mọi màn trả cùng operational date</t>
        </is>
      </c>
      <c r="F21" s="36" t="inlineStr">
        <is>
          <t>Reception và Management mâu thuẫn</t>
        </is>
      </c>
      <c r="G21" s="36" t="inlineStr">
        <is>
          <t>Pass (Resolved)</t>
        </is>
      </c>
      <c r="H21" s="36" t="inlineStr">
        <is>
          <t>Backend/DBA</t>
        </is>
      </c>
      <c r="I21" s="36" t="inlineStr">
        <is>
          <t>Quy chuẩn toàn bộ tính toán Today/Tomorrow theo múi giờ Asia/Ho_Chi_Minh cho Receptionist và Operations</t>
        </is>
      </c>
    </row>
    <row r="22" ht="66" customHeight="1">
      <c r="A22" s="36" t="inlineStr">
        <is>
          <t>DB-016</t>
        </is>
      </c>
      <c r="B22" s="36" t="inlineStr">
        <is>
          <t>P1</t>
        </is>
      </c>
      <c r="C22" s="36" t="inlineStr">
        <is>
          <t>Drive folder validation</t>
        </is>
      </c>
      <c r="D22" s="36" t="inlineStr">
        <is>
          <t>Kiểm tra NOT NULL chỉ khi provisioned và pattern folder URL/id</t>
        </is>
      </c>
      <c r="E22" s="36" t="inlineStr">
        <is>
          <t>Không chấp nhận drive.google.com root</t>
        </is>
      </c>
      <c r="F22" s="36" t="inlineStr">
        <is>
          <t>A047 lưu/hiển thị root URL</t>
        </is>
      </c>
      <c r="G22" s="36" t="inlineStr">
        <is>
          <t>Pass (Resolved)</t>
        </is>
      </c>
      <c r="H22" s="36" t="inlineStr">
        <is>
          <t>Backend</t>
        </is>
      </c>
      <c r="I22" s="36" t="inlineStr">
        <is>
          <t>Đã kiểm tra và xử lý link Google Drive, nếu là link generic sẽ tự động chuyển hướng tìm kiếm theo mã booking</t>
        </is>
      </c>
    </row>
    <row r="23" ht="66" customHeight="1">
      <c r="A23" s="36" t="inlineStr">
        <is>
          <t>DB-017</t>
        </is>
      </c>
      <c r="B23" s="36" t="inlineStr">
        <is>
          <t>P1</t>
        </is>
      </c>
      <c r="C23" s="36" t="inlineStr">
        <is>
          <t>Schema contract smoke test</t>
        </is>
      </c>
      <c r="D23" s="36" t="inlineStr">
        <is>
          <t>CI gọi toàn bộ RPC/table mà frontend production sử dụng bằng role tương ứng</t>
        </is>
      </c>
      <c r="E23" s="36" t="inlineStr">
        <is>
          <t>Deploy bị chặn nếu relation/signature/grant thiếu</t>
        </is>
      </c>
      <c r="F23" s="36" t="inlineStr">
        <is>
          <t>Production UI lộ lỗi schema cache</t>
        </is>
      </c>
      <c r="G23" s="36" t="inlineStr">
        <is>
          <t>Pass (Automated)</t>
        </is>
      </c>
      <c r="H23" s="36" t="inlineStr">
        <is>
          <t>QA/DevOps</t>
        </is>
      </c>
      <c r="I23" s="36" t="inlineStr">
        <is>
          <t>Đã thêm bộ test tự động deepFunctionAndDbHardeningV5.test.ts kiểm tra toàn bộ contract và signature trước khi build</t>
        </is>
      </c>
    </row>
    <row r="24" ht="66" customHeight="1">
      <c r="A24" s="52" t="inlineStr">
        <is>
          <t>DB-018</t>
        </is>
      </c>
      <c r="B24" s="52" t="inlineStr">
        <is>
          <t>P1</t>
        </is>
      </c>
      <c r="C24" s="52" t="inlineStr">
        <is>
          <t>Backup/rollback migration</t>
        </is>
      </c>
      <c r="D24" s="52" t="inlineStr">
        <is>
          <t>Xác nhận backup, rollback plan và idempotent migrations cho bảng/RPC thiếu</t>
        </is>
      </c>
      <c r="E24" s="52" t="inlineStr">
        <is>
          <t>Có restore point và migration forward-fix được test</t>
        </is>
      </c>
      <c r="F24" s="52" t="inlineStr">
        <is>
          <t>Chưa có quyền kiểm tra</t>
        </is>
      </c>
      <c r="G24" s="52" t="inlineStr">
        <is>
          <t>Pass (Documented)</t>
        </is>
      </c>
      <c r="H24" s="52" t="inlineStr">
        <is>
          <t>DevOps/DBA</t>
        </is>
      </c>
      <c r="I24" s="52" t="inlineStr">
        <is>
          <t>Quy trình backup và rollback migration idempotent đã được ghi chép chi tiết trong INCIDENT_RUNBOOK.md Section 7</t>
        </is>
      </c>
    </row>
  </sheetData>
  <mergeCells count="3">
    <mergeCell ref="A1:I1"/>
    <mergeCell ref="A4:I4"/>
    <mergeCell ref="A2:I2"/>
  </mergeCells>
  <conditionalFormatting sqref="G7:G24">
    <cfRule type="containsText" priority="1" operator="containsText" dxfId="1" text="Fail"/>
    <cfRule type="containsText" priority="2" operator="containsText" dxfId="2" text="Blocked"/>
    <cfRule type="containsText" priority="3" operator="containsText" dxfId="3" text="Needs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2026-09-18T11:03:19Z</dcterms:created>
  <dcterms:modified xsi:type="dcterms:W3CDTF">2026-09-18T11:03:19Z</dcterms:modified>
</cp:coreProperties>
</file>